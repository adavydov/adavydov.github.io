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88c7405fe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ькулятор" sheetId="1" r:id="R79d28abed7984974"/>
    <x:sheet xmlns:r="http://schemas.openxmlformats.org/officeDocument/2006/relationships" name="Один пакет" sheetId="2" r:id="R5c6c277e0df4438e"/>
    <x:sheet xmlns:r="http://schemas.openxmlformats.org/officeDocument/2006/relationships" name="Правила и сверка" sheetId="3" r:id="R2d478985fde84d9d"/>
    <x:sheet xmlns:r="http://schemas.openxmlformats.org/officeDocument/2006/relationships" name="Ежегодные циклы" sheetId="4" r:id="R57dc0acc01584f89"/>
    <x:sheet xmlns:r="http://schemas.openxmlformats.org/officeDocument/2006/relationships" name="Пул и два гранта" sheetId="5" r:id="R46296a5ecb1f441c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I10" authorId="0">
      <x:text>
        <x:r>
          <x:t>Размер пакета при 100% результата; допустимый диапазон 0,50–1,50.</x:t>
        </x:r>
      </x:text>
    </x:comment>
    <x:comment ref="I11" authorId="0">
      <x:text>
        <x:r>
          <x:t>Размер пакета при 100% результата; допустимый диапазон 0,50–1,50.</x:t>
        </x:r>
      </x:text>
    </x:comment>
    <x:comment ref="I12" authorId="0">
      <x:text>
        <x:r>
          <x:t>Размер пакета при 100% результата; допустимый диапазон 0,50–1,50.</x:t>
        </x:r>
      </x:text>
    </x:comment>
    <x:comment ref="B38" authorId="0">
      <x:text>
        <x:r>
          <x:t>Чем больше вес, тем больше часть роста приходится на этот год. Значения 5 / 4 / 3 / 2 / 1 дают плавное замедление.</x:t>
        </x:r>
      </x:text>
    </x:comment>
    <x:comment ref="B39" authorId="0">
      <x:text>
        <x:r>
          <x:t>Чем больше вес, тем больше часть роста приходится на этот год. Значения 5 / 4 / 3 / 2 / 1 дают плавное замедление.</x:t>
        </x:r>
      </x:text>
    </x:comment>
    <x:comment ref="B40" authorId="0">
      <x:text>
        <x:r>
          <x:t>Чем больше вес, тем больше часть роста приходится на этот год. Значения 5 / 4 / 3 / 2 / 1 дают плавное замедление.</x:t>
        </x:r>
      </x:text>
    </x:comment>
    <x:comment ref="B41" authorId="0">
      <x:text>
        <x:r>
          <x:t>Чем больше вес, тем больше часть роста приходится на этот год. Значения 5 / 4 / 3 / 2 / 1 дают плавное замедление.</x:t>
        </x:r>
      </x:text>
    </x:comment>
    <x:comment ref="B42" authorId="0">
      <x:text>
        <x:r>
          <x:t>Чем больше вес, тем больше часть роста приходится на этот год. Значения 5 / 4 / 3 / 2 / 1 дают плавное замедление.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<x:sst xmlns:x="http://schemas.openxmlformats.org/spreadsheetml/2006/main">
  <x:si>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Участников к концу набора</x:t>
  </x:si>
  <x:si>
    <x:t xml:space="preserve">Набор накопительным итогом</x:t>
  </x:si>
  <x:si>
    <x:t xml:space="preserve">Использовано пула: базовый сценарий</x:t>
  </x:si>
  <x:si>
    <x:t xml:space="preserve">Стоимость выданного LTI при 15 млрд ₽</x:t>
  </x:si>
  <x:si>
    <x:t xml:space="preserve">1. Изменяемые параметры и лестница пакетов</x:t>
  </x:si>
  <x:si>
    <x:t xml:space="preserve">Параметр</x:t>
  </x:si>
  <x:si>
    <x:t xml:space="preserve">Ввод</x:t>
  </x:si>
  <x:si>
    <x:t xml:space="preserve">Расчёт</x:t>
  </x:si>
  <x:si>
    <x:t xml:space="preserve">Значение</x:t>
  </x:si>
  <x:si>
    <x:t xml:space="preserve">Уровень</x:t>
  </x:si>
  <x:si>
    <x:t xml:space="preserve">ЗП, млн ₽/мес.</x:t>
  </x:si>
  <x:si>
    <x:t xml:space="preserve">Годовая ЗП, млн ₽</x:t>
  </x:si>
  <x:si>
    <x:t xml:space="preserve">Пакет</x:t>
  </x:si>
  <x:si>
    <x:t xml:space="preserve">Пакет при результате, млн ₽</x:t>
  </x:si>
  <x:si>
    <x:t xml:space="preserve">Людей всего</x:t>
  </x:si>
  <x:si>
    <x:t xml:space="preserve">Выдано в деньгах, млн ₽</x:t>
  </x:si>
  <x:si>
    <x:t xml:space="preserve">Оценка post-money, млн ₽</x:t>
  </x:si>
  <x:si>
    <x:t xml:space="preserve">Оценка pre-money, млн ₽</x:t>
  </x:si>
  <x:si>
    <x:t xml:space="preserve">Core team</x:t>
  </x:si>
  <x:si>
    <x:t xml:space="preserve">Cash-in, млн ₽</x:t>
  </x:si>
  <x:si>
    <x:t xml:space="preserve">Цена единицы на старте, ₽</x:t>
  </x:si>
  <x:si>
    <x:t xml:space="preserve">Функциональный руководитель</x:t>
  </x:si>
  <x:si>
    <x:t xml:space="preserve">Единиц до инвестора</x:t>
  </x:si>
  <x:si>
    <x:t xml:space="preserve">Единиц инвестора</x:t>
  </x:si>
  <x:si>
    <x:t xml:space="preserve">Важный специалист</x:t>
  </x:si>
  <x:si>
    <x:t xml:space="preserve">Единиц после cash-in</x:t>
  </x:si>
  <x:si>
    <x:t xml:space="preserve">Итого</x:t>
  </x:si>
  <x:si>
    <x:t xml:space="preserve">Цель: низкая оценка, млн ₽</x:t>
  </x:si>
  <x:si>
    <x:t xml:space="preserve">Цель: базовая оценка, млн ₽</x:t>
  </x:si>
  <x:si>
    <x:t xml:space="preserve">Цель: оптимистичная оценка, млн ₽</x:t>
  </x:si>
  <x:si>
    <x:t xml:space="preserve">2. Когорты: 10, затем 5, затем 3, затем 2; никто не выходит</x:t>
  </x:si>
  <x:si>
    <x:t xml:space="preserve">Когорта</x:t>
  </x:si>
  <x:si>
    <x:t xml:space="preserve">Core</x:t>
  </x:si>
  <x:si>
    <x:t xml:space="preserve">Функц. рук.</x:t>
  </x:si>
  <x:si>
    <x:t xml:space="preserve">Специалист</x:t>
  </x:si>
  <x:si>
    <x:t xml:space="preserve">Новых людей</x:t>
  </x:si>
  <x:si>
    <x:t xml:space="preserve">Активных накопительно</x:t>
  </x:si>
  <x:si>
    <x:t xml:space="preserve">Сумма пакетов, млн ₽</x:t>
  </x:si>
  <x:si>
    <x:t xml:space="preserve">Цена: низкий, ₽</x:t>
  </x:si>
  <x:si>
    <x:t xml:space="preserve">Цена: базовый, ₽</x:t>
  </x:si>
  <x:si>
    <x:t xml:space="preserve">Цена: оптимист., ₽</x:t>
  </x:si>
  <x:si>
    <x:t xml:space="preserve">Комментарий</x:t>
  </x:si>
  <x:si>
    <x:t xml:space="preserve">Год 1</x:t>
  </x:si>
  <x:si>
    <x:t xml:space="preserve">Год 2</x:t>
  </x:si>
  <x:si>
    <x:t xml:space="preserve">Год 3</x:t>
  </x:si>
  <x:si>
    <x:t xml:space="preserve">Год 4</x:t>
  </x:si>
  <x:si>
    <x:t xml:space="preserve">3. Сколько выбрано из 10% и сколько это стоит</x:t>
  </x:si>
  <x:si>
    <x:t xml:space="preserve">Низкий</x:t>
  </x:si>
  <x:si>
    <x:t xml:space="preserve">Больше единиц из-за более низких цен входа</x:t>
  </x:si>
  <x:si>
    <x:t xml:space="preserve">Базовый</x:t>
  </x:si>
  <x:si>
    <x:t xml:space="preserve">Основной ориентир</x:t>
  </x:si>
  <x:si>
    <x:t xml:space="preserve">Оптимистичный</x:t>
  </x:si>
  <x:si>
    <x:t xml:space="preserve">Меньше единиц, но выше итоговая стоимость</x:t>
  </x:si>
  <x:si>
    <x:t xml:space="preserve">4. Один новый раунд в год: плавное замедление роста оценки</x:t>
  </x:si>
  <x:si>
    <x:t xml:space="preserve">Год</x:t>
  </x:si>
  <x:si>
    <x:t xml:space="preserve">Вес роста</x:t>
  </x:si>
  <x:si>
    <x:t xml:space="preserve">Единиц после раунда, млн</x:t>
  </x:si>
  <x:si>
    <x:t xml:space="preserve">Низкая оценка, млн ₽</x:t>
  </x:si>
  <x:si>
    <x:t xml:space="preserve">Рост</x:t>
  </x:si>
  <x:si>
    <x:t xml:space="preserve">Базовая оценка, млн ₽</x:t>
  </x:si>
  <x:si>
    <x:t xml:space="preserve">Оптимистичная оценка, млн ₽</x:t>
  </x:si>
  <x:si>
    <x:t xml:space="preserve">5. Как играть вариантами</x:t>
  </x:si>
  <x:si>
    <x:t xml:space="preserve">2. Сразу смотрите строки 30–32: сколько единиц выбрано, какой процент 10%-го пула занят, сколько осталось и какова возможная стоимость в рублях.</x:t>
  </x:si>
  <x:si>
    <x:t xml:space="preserve">3. Если в колонке «Статус» появляется «СТОП», выбранная комбинация превышает 10%-й пул. Уменьшите пакет, перенесите часть людей в более позднюю когорту или пересмотрите состав.</x:t>
  </x:si>
</x:sst>
</file>

<file path=xl/styles.xml><?xml version="1.0" encoding="utf-8"?>
<x:styleSheet xmlns:x="http://schemas.openxmlformats.org/spreadsheetml/2006/main">
  <x:numFmts count="13">
    <x:numFmt numFmtId="164" formatCode="0.0%"/>
    <x:numFmt numFmtId="165" formatCode="0.0"/>
    <x:numFmt numFmtId="200" formatCode="#,##0.00"/>
    <x:numFmt numFmtId="201" formatCode="0.00x"/>
    <x:numFmt numFmtId="202" formatCode="#,##0 [$₽-ru-RU]"/>
    <x:numFmt numFmtId="203" formatCode="#,##0.00 [$₽-ru-RU]"/>
    <x:numFmt numFmtId="204" formatCode="0.0000%"/>
    <x:numFmt numFmtId="205" formatCode="#,##0.0 [$₽-ru-RU]"/>
    <x:numFmt numFmtId="206" formatCode="dd.mm.yyyy"/>
    <x:numFmt numFmtId="207" formatCode="#,##0"/>
    <x:numFmt numFmtId="208" formatCode="0.0x"/>
    <x:numFmt numFmtId="209" formatCode="#,##0.0"/>
    <x:numFmt numFmtId="210" formatCode="0.000%"/>
  </x:numFmts>
  <x:fonts count="36">
    <x:font>
      <x:sz val="11"/>
      <x:color theme="1"/>
      <x:name val="Calibri"/>
    </x:font>
    <x:font>
      <x:b/>
      <x:sz val="18"/>
      <x:color rgb="FFFFFFFF"/>
      <x:name val="Calibri"/>
    </x:font>
    <x:font>
      <x:sz val="10"/>
      <x:color rgb="FF1F2937"/>
      <x:name val="Calibri"/>
    </x:font>
    <x:font>
      <x:b/>
      <x:sz val="9"/>
      <x:color rgb="FFFFFFFF"/>
      <x:name val="Calibri"/>
    </x:font>
    <x:font>
      <x:b/>
      <x:sz val="18"/>
      <x:color rgb="FF17365D"/>
      <x:name val="Calibri"/>
    </x:font>
    <x:font>
      <x:b/>
      <x:sz val="11"/>
      <x:color rgb="FFFFFFFF"/>
      <x:name val="Calibri"/>
    </x:font>
    <x:font>
      <x:sz val="9"/>
      <x:color rgb="FF1F2937"/>
      <x:name val="Calibri"/>
    </x:font>
    <x:font>
      <x:b/>
      <x:sz val="9"/>
      <x:color rgb="FF1F2937"/>
      <x:name val="Calibri"/>
    </x:font>
    <x:font>
      <x:i/>
      <x:sz val="9"/>
      <x:color rgb="FF1F2937"/>
      <x:name val="Calibri"/>
    </x:font>
    <x:font>
      <x:sz val="10"/>
      <x:name val="Arial"/>
    </x:font>
    <x:font>
      <x:sz val="9"/>
      <x:color rgb="FF1F4E78"/>
      <x:name val="Calibri"/>
    </x:font>
    <x:font>
      <x:b/>
      <x:sz val="9"/>
      <x:color rgb="FF0F172A"/>
      <x:name val="Calibri"/>
    </x:font>
    <x:font>
      <x:i/>
      <x:sz val="11"/>
      <x:color rgb="FF334155"/>
      <x:name val="Calibri"/>
    </x:font>
    <x:font>
      <x:b/>
      <x:sz val="11"/>
      <x:color rgb="FF1F4E78"/>
      <x:name val="Calibri"/>
    </x:font>
    <x:font>
      <x:b/>
      <x:sz val="11"/>
      <x:color rgb="FF0F172A"/>
      <x:name val="Calibri"/>
    </x:font>
    <x:font>
      <x:b/>
      <x:sz val="14"/>
      <x:color rgb="FF0A66D6"/>
      <x:name val="Calibri"/>
    </x:font>
    <x:font>
      <x:b/>
      <x:sz val="12"/>
      <x:color rgb="FF0A66D6"/>
      <x:name val="Calibri"/>
    </x:font>
    <x:font>
      <x:b/>
      <x:sz val="11"/>
      <x:color rgb="FF9A3412"/>
      <x:name val="Calibri"/>
    </x:font>
    <x:font>
      <x:sz val="9"/>
      <x:color rgb="FF0F172A"/>
      <x:name val="Calibri"/>
    </x:font>
    <x:font>
      <x:b/>
      <x:sz val="12"/>
      <x:color rgb="FF0F172A"/>
      <x:name val="Calibri"/>
    </x:font>
    <x:font>
      <x:b/>
      <x:sz val="12"/>
      <x:color rgb="FF008000"/>
      <x:name val="Calibri"/>
    </x:font>
    <x:font>
      <x:b/>
      <x:sz val="12"/>
      <x:color rgb="FF0000FF"/>
      <x:name val="Calibri"/>
    </x:font>
    <x:font>
      <x:sz val="11"/>
      <x:color rgb="FF0000FF"/>
      <x:name val="Calibri"/>
    </x:font>
    <x:font>
      <x:sz val="11"/>
      <x:color rgb="FF008000"/>
      <x:name val="Calibri"/>
    </x:font>
    <x:font>
      <x:sz val="11"/>
      <x:color rgb="FF0F172A"/>
      <x:name val="Calibri"/>
    </x:font>
    <x:font>
      <x:sz val="11"/>
      <x:color rgb="FF475569"/>
      <x:name val="Calibri"/>
    </x:font>
    <x:font>
      <x:sz val="10"/>
      <x:color rgb="FF172033"/>
      <x:name val="Calibri"/>
    </x:font>
    <x:font>
      <x:sz val="10"/>
      <x:color rgb="FF172033"/>
      <x:name val="Aptos"/>
    </x:font>
    <x:font>
      <x:b/>
      <x:sz val="18"/>
      <x:color rgb="FFFFFFFF"/>
      <x:name val="Aptos Display"/>
    </x:font>
    <x:font>
      <x:i/>
      <x:sz val="10"/>
      <x:color rgb="FF526173"/>
      <x:name val="Aptos"/>
    </x:font>
    <x:font>
      <x:b/>
      <x:sz val="11"/>
      <x:color rgb="FFFFFFFF"/>
      <x:name val="Aptos"/>
    </x:font>
    <x:font>
      <x:b/>
      <x:sz val="9"/>
      <x:color rgb="FFFFFFFF"/>
      <x:name val="Aptos"/>
    </x:font>
    <x:font>
      <x:b/>
      <x:sz val="10"/>
      <x:color rgb="FF172033"/>
      <x:name val="Aptos"/>
    </x:font>
    <x:font>
      <x:b/>
      <x:sz val="12"/>
      <x:color rgb="FF17365D"/>
      <x:name val="Aptos"/>
    </x:font>
    <x:font>
      <x:b/>
      <x:sz val="10"/>
      <x:color rgb="FF17365D"/>
      <x:name val="Aptos"/>
    </x:font>
    <x:font>
      <x:b/>
      <x:sz val="11"/>
      <x:color rgb="FF17365D"/>
      <x:name val="Aptos"/>
    </x:font>
  </x:fonts>
  <x:fills count="4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2F5597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E2E8F0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F8FAFC"/>
      </x:patternFill>
    </x:fill>
    <x:fill>
      <x:patternFill patternType="solid">
        <x:fgColor rgb="FFDBEAFE"/>
      </x:patternFill>
    </x:fill>
    <x:fill>
      <x:patternFill patternType="solid">
        <x:fgColor rgb="FFEEF3FA"/>
      </x:patternFill>
    </x:fill>
    <x:fill>
      <x:patternFill patternType="solid">
        <x:fgColor rgb="FFFFF7ED"/>
      </x:patternFill>
    </x:fill>
    <x:fill>
      <x:patternFill patternType="solid">
        <x:fgColor rgb="FFDDEBF7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F4E78"/>
      </x:patternFill>
    </x:fill>
    <x:fill>
      <x:patternFill patternType="solid">
        <x:fgColor rgb="FFEEF3FA"/>
      </x:patternFill>
    </x:fill>
    <x:fill>
      <x:patternFill patternType="solid">
        <x:fgColor rgb="FFDBEAFE"/>
      </x:patternFill>
    </x:fill>
    <x:fill>
      <x:patternFill patternType="solid">
        <x:fgColor rgb="FFDDEBF7"/>
      </x:patternFill>
    </x:fill>
    <x:fill>
      <x:patternFill patternType="solid">
        <x:fgColor rgb="FFFFF7ED"/>
      </x:patternFill>
    </x:fill>
    <x:fill>
      <x:patternFill patternType="solid">
        <x:fgColor rgb="FFF8FAFC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6ECF4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4F7FB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  <x:fill>
      <x:patternFill patternType="solid">
        <x:fgColor rgb="FFF6F8FB"/>
      </x:patternFill>
    </x:fill>
    <x:fill>
      <x:patternFill patternType="solid">
        <x:fgColor rgb="FFFFF4E5"/>
      </x:patternFill>
    </x:fill>
  </x:fills>
  <x:borders count="4">
    <x:border/>
    <x:border>
      <x:left style="medium">
        <x:color rgb="FF17365D"/>
      </x:left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double">
        <x:color rgb="FF94A3B8"/>
      </x:bottom>
    </x:border>
  </x:borders>
  <x:cellStyleXfs count="1">
    <x:xf numFmtId="0" fontId="0" fillId="0" borderId="0"/>
  </x:cellStyleXfs>
  <x:cellXfs count="212">
    <x:xf numFmtId="0" fontId="0" fillId="0" borderId="0" xfId="0"/>
    <x:xf numFmtId="0" fontId="0" fillId="0" borderId="0" xfId="0" applyAlignment="1"/>
    <x:xf numFmtId="0" fontId="3" fillId="6" borderId="2" xfId="0" applyFont="1" applyFill="1" applyBorder="1" applyAlignment="1">
      <x:alignment horizontal="center" vertical="center" wrapText="1"/>
    </x:xf>
    <x:xf numFmtId="0" fontId="6" fillId="7" borderId="2" xfId="0" applyFont="1" applyFill="1" applyBorder="1" applyAlignment="1">
      <x:alignment vertical="center" wrapText="1"/>
    </x:xf>
    <x:xf numFmtId="165" fontId="6" fillId="8" borderId="2" xfId="0" applyNumberFormat="1" applyFont="1" applyFill="1" applyBorder="1" applyAlignment="1">
      <x:alignment vertical="center" wrapText="1"/>
    </x:xf>
    <x:xf numFmtId="165" fontId="6" fillId="3" borderId="2" xfId="0" applyNumberFormat="1" applyFont="1" applyFill="1" applyBorder="1" applyAlignment="1">
      <x:alignment vertical="center" wrapText="1"/>
    </x:xf>
    <x:xf numFmtId="2" fontId="6" fillId="8" borderId="2" xfId="0" applyNumberFormat="1" applyFont="1" applyFill="1" applyBorder="1" applyAlignment="1">
      <x:alignment vertical="center" wrapText="1"/>
    </x:xf>
    <x:xf numFmtId="1" fontId="6" fillId="3" borderId="2" xfId="0" applyNumberFormat="1" applyFont="1" applyFill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2" fontId="6" fillId="3" borderId="2" xfId="0" applyNumberFormat="1" applyFont="1" applyFill="1" applyBorder="1" applyAlignment="1">
      <x:alignment vertical="center" wrapText="1"/>
    </x:xf>
    <x:xf numFmtId="1" fontId="6" fillId="8" borderId="2" xfId="0" applyNumberFormat="1" applyFont="1" applyFill="1" applyBorder="1" applyAlignment="1">
      <x:alignment vertical="center" wrapText="1"/>
    </x:xf>
    <x:xf numFmtId="164" fontId="6" fillId="8" borderId="2" xfId="0" applyNumberFormat="1" applyFont="1" applyFill="1" applyBorder="1" applyAlignment="1">
      <x:alignment vertical="center" wrapText="1"/>
    </x:xf>
    <x:xf numFmtId="164" fontId="6" fillId="3" borderId="2" xfId="0" applyNumberFormat="1" applyFont="1" applyFill="1" applyBorder="1" applyAlignment="1">
      <x:alignment vertical="center" wrapText="1"/>
    </x:xf>
    <x:xf numFmtId="1" fontId="6" fillId="7" borderId="2" xfId="0" applyNumberFormat="1" applyFont="1" applyFill="1" applyBorder="1" applyAlignment="1">
      <x:alignment vertical="center" wrapText="1"/>
    </x:xf>
    <x:xf numFmtId="165" fontId="6" fillId="7" borderId="2" xfId="0" applyNumberFormat="1" applyFont="1" applyFill="1" applyBorder="1" applyAlignment="1">
      <x:alignment vertical="center" wrapText="1"/>
    </x:xf>
    <x:xf numFmtId="10" fontId="6" fillId="7" borderId="2" xfId="0" applyNumberFormat="1" applyFont="1" applyFill="1" applyBorder="1" applyAlignment="1">
      <x:alignment vertical="center" wrapText="1"/>
    </x:xf>
    <x:xf numFmtId="2" fontId="6" fillId="7" borderId="2" xfId="0" applyNumberFormat="1" applyFont="1" applyFill="1" applyBorder="1" applyAlignment="1">
      <x:alignment vertical="center" wrapText="1"/>
    </x:xf>
    <x:xf numFmtId="0" fontId="6" fillId="5" borderId="2" xfId="0" applyFont="1" applyFill="1" applyBorder="1" applyAlignment="1">
      <x:alignment vertical="center" wrapText="1"/>
    </x:xf>
    <x:xf numFmtId="165" fontId="6" fillId="5" borderId="2" xfId="0" applyNumberFormat="1" applyFont="1" applyFill="1" applyBorder="1" applyAlignment="1">
      <x:alignment vertical="center" wrapText="1"/>
    </x:xf>
    <x:xf numFmtId="1" fontId="6" fillId="5" borderId="2" xfId="0" applyNumberFormat="1" applyFont="1" applyFill="1" applyBorder="1" applyAlignment="1">
      <x:alignment vertical="center" wrapText="1"/>
    </x:xf>
    <x:xf numFmtId="10" fontId="6" fillId="5" borderId="2" xfId="0" applyNumberFormat="1" applyFont="1" applyFill="1" applyBorder="1" applyAlignment="1">
      <x:alignment vertical="center" wrapText="1"/>
    </x:xf>
    <x:xf numFmtId="2" fontId="6" fillId="5" borderId="2" xfId="0" applyNumberFormat="1" applyFont="1" applyFill="1" applyBorder="1" applyAlignment="1">
      <x:alignment vertical="center" wrapText="1"/>
    </x:xf>
    <x:xf numFmtId="1" fontId="6" fillId="0" borderId="2" xfId="0" applyNumberFormat="1" applyFont="1" applyBorder="1" applyAlignment="1">
      <x:alignment vertical="center" wrapText="1"/>
    </x:xf>
    <x:xf numFmtId="165" fontId="6" fillId="0" borderId="2" xfId="0" applyNumberFormat="1" applyFont="1" applyBorder="1" applyAlignment="1">
      <x:alignment vertical="center" wrapText="1"/>
    </x:xf>
    <x:xf numFmtId="164" fontId="6" fillId="0" borderId="2" xfId="0" applyNumberFormat="1" applyFont="1" applyBorder="1" applyAlignment="1">
      <x:alignment vertical="center" wrapText="1"/>
    </x:xf>
    <x:xf numFmtId="2" fontId="6" fillId="0" borderId="2" xfId="0" applyNumberFormat="1" applyFont="1" applyBorder="1" applyAlignment="1">
      <x:alignment vertical="center" wrapText="1"/>
    </x:xf>
    <x:xf numFmtId="164" fontId="6" fillId="7" borderId="2" xfId="0" applyNumberFormat="1" applyFont="1" applyFill="1" applyBorder="1" applyAlignment="1">
      <x:alignment vertical="center" wrapText="1"/>
    </x:xf>
    <x:xf numFmtId="0" fontId="8" fillId="8" borderId="0" xfId="0" applyFont="1" applyFill="1" applyBorder="1" applyAlignment="1">
      <x:alignment vertical="center" wrapText="1"/>
    </x:xf>
    <x:xf numFmtId="0" fontId="5" fillId="4" borderId="0" xfId="0" applyFont="1" applyFill="1" applyBorder="1" applyAlignment="1">
      <x:alignment vertical="center"/>
    </x:xf>
    <x:xf numFmtId="0" fontId="6" fillId="7" borderId="0" xfId="0" applyFont="1" applyFill="1" applyBorder="1" applyAlignment="1">
      <x:alignment vertical="center" wrapText="1"/>
    </x:xf>
    <x:xf numFmtId="0" fontId="7" fillId="10" borderId="0" xfId="0" applyFont="1" applyFill="1" applyBorder="1" applyAlignment="1">
      <x:alignment vertical="center" wrapText="1"/>
    </x:xf>
    <x:xf numFmtId="0" fontId="7" fillId="7" borderId="0" xfId="0" applyFont="1" applyFill="1" applyBorder="1" applyAlignment="1">
      <x:alignment vertical="center" wrapText="1"/>
    </x:xf>
    <x:xf numFmtId="0" fontId="6" fillId="10" borderId="0" xfId="0" applyFont="1" applyFill="1" applyBorder="1" applyAlignment="1">
      <x:alignment vertical="center" wrapText="1"/>
    </x:xf>
    <x:xf numFmtId="0" fontId="7" fillId="9" borderId="0" xfId="0" applyFont="1" applyFill="1" applyBorder="1" applyAlignment="1">
      <x:alignment vertical="center" wrapText="1"/>
    </x:xf>
    <x:xf numFmtId="1" fontId="4" fillId="5" borderId="1" xfId="0" applyNumberFormat="1" applyFont="1" applyFill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center" vertical="center" wrapText="1"/>
    </x:xf>
    <x:xf numFmtId="164" fontId="4" fillId="5" borderId="1" xfId="0" applyNumberFormat="1" applyFont="1" applyFill="1" applyBorder="1" applyAlignment="1">
      <x:alignment horizontal="center" vertical="center" wrapText="1"/>
    </x:xf>
    <x:xf numFmtId="165" fontId="4" fillId="5" borderId="1" xfId="0" applyNumberFormat="1" applyFont="1" applyFill="1" applyBorder="1" applyAlignment="1">
      <x:alignment horizontal="center" vertical="center" wrapText="1"/>
    </x:xf>
    <x:xf numFmtId="0" fontId="1" fillId="2" borderId="0" xfId="0" applyFont="1" applyFill="1" applyBorder="1" applyAlignment="1">
      <x:alignment vertical="center"/>
    </x:xf>
    <x:xf numFmtId="0" fontId="2" fillId="3" borderId="0" xfId="0" applyFont="1" applyFill="1" applyBorder="1" applyAlignment="1">
      <x:alignment vertical="center" wrapText="1"/>
    </x:xf>
    <x:xf numFmtId="0" fontId="3" fillId="4" borderId="1" xfId="0" applyFont="1" applyFill="1" applyBorder="1" applyAlignment="1">
      <x:alignment horizontal="center" vertical="center"/>
    </x:xf>
    <x:xf numFmtId="165" fontId="6" fillId="11" borderId="2" xfId="0" applyNumberFormat="1" applyFont="1" applyFill="1" applyBorder="1" applyAlignment="1">
      <x:alignment vertical="center" wrapText="1"/>
    </x:xf>
    <x:xf numFmtId="1" fontId="6" fillId="11" borderId="2" xfId="0" applyNumberFormat="1" applyFont="1" applyFill="1" applyBorder="1" applyAlignment="1">
      <x:alignment vertical="center" wrapText="1"/>
    </x:xf>
    <x:xf numFmtId="165" fontId="10" fillId="11" borderId="2" xfId="0" applyNumberFormat="1" applyFont="1" applyFill="1" applyBorder="1" applyAlignment="1">
      <x:alignment vertical="center" wrapText="1"/>
    </x:xf>
    <x:xf numFmtId="1" fontId="10" fillId="11" borderId="2" xfId="0" applyNumberFormat="1" applyFont="1" applyFill="1" applyBorder="1" applyAlignment="1">
      <x:alignment vertical="center" wrapText="1"/>
    </x:xf>
    <x:xf numFmtId="164" fontId="6" fillId="11" borderId="2" xfId="0" applyNumberFormat="1" applyFont="1" applyFill="1" applyBorder="1" applyAlignment="1">
      <x:alignment vertical="center" wrapText="1"/>
    </x:xf>
    <x:xf numFmtId="164" fontId="10" fillId="11" borderId="2" xfId="0" applyNumberFormat="1" applyFont="1" applyFill="1" applyBorder="1" applyAlignment="1">
      <x:alignment vertical="center" wrapText="1"/>
    </x:xf>
    <x:xf numFmtId="2" fontId="6" fillId="11" borderId="2" xfId="0" applyNumberFormat="1" applyFont="1" applyFill="1" applyBorder="1" applyAlignment="1">
      <x:alignment vertical="center" wrapText="1"/>
    </x:xf>
    <x:xf numFmtId="2" fontId="10" fillId="11" borderId="2" xfId="0" applyNumberFormat="1" applyFont="1" applyFill="1" applyBorder="1" applyAlignment="1">
      <x:alignment vertical="center" wrapText="1"/>
    </x:xf>
    <x:xf numFmtId="164" fontId="6" fillId="12" borderId="2" xfId="0" applyNumberFormat="1" applyFont="1" applyFill="1" applyBorder="1" applyAlignment="1">
      <x:alignment vertical="center" wrapText="1"/>
    </x:xf>
    <x:xf numFmtId="164" fontId="11" fillId="12" borderId="2" xfId="0" applyNumberFormat="1" applyFont="1" applyFill="1" applyBorder="1" applyAlignment="1">
      <x:alignment vertical="center" wrapText="1"/>
    </x:xf>
    <x:xf numFmtId="200" fontId="6" fillId="3" borderId="2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/>
    <x:xf numFmtId="201" fontId="10" fillId="11" borderId="2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4" fillId="12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6" borderId="0" xfId="0" applyNumberFormat="1" applyFont="1" applyFill="1" applyBorder="1"/>
    <x:xf numFmtId="0" fontId="15" fillId="16" borderId="0" xfId="0" applyNumberFormat="1" applyFont="1" applyFill="1" applyBorder="1"/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0" fontId="16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7" fillId="18" borderId="0" xfId="0" applyNumberFormat="1" applyFont="1" applyFill="1" applyBorder="1"/>
    <x:xf numFmtId="0" fontId="17" fillId="1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13" fillId="11" borderId="0" xfId="0" applyNumberFormat="1" applyFont="1" applyFill="1" applyBorder="1"/>
    <x:xf numFmtId="201" fontId="13" fillId="11" borderId="0" xfId="0" applyNumberFormat="1" applyFont="1" applyFill="1" applyBorder="1"/>
    <x:xf numFmtId="164" fontId="13" fillId="11" borderId="0" xfId="0" applyNumberFormat="1" applyFont="1" applyFill="1" applyBorder="1"/>
    <x:xf numFmtId="164" fontId="14" fillId="15" borderId="0" xfId="0" applyNumberFormat="1" applyFont="1" applyFill="1" applyBorder="1"/>
    <x:xf numFmtId="203" fontId="14" fillId="15" borderId="0" xfId="0" applyNumberFormat="1" applyFont="1" applyFill="1" applyBorder="1"/>
    <x:xf numFmtId="200" fontId="14" fillId="15" borderId="0" xfId="0" applyNumberFormat="1" applyFont="1" applyFill="1" applyBorder="1"/>
    <x:xf numFmtId="204" fontId="14" fillId="15" borderId="0" xfId="0" applyNumberFormat="1" applyFont="1" applyFill="1" applyBorder="1"/>
    <x:xf numFmtId="202" fontId="14" fillId="15" borderId="0" xfId="0" applyNumberFormat="1" applyFont="1" applyFill="1" applyBorder="1"/>
    <x:xf numFmtId="205" fontId="15" fillId="16" borderId="0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6" fillId="7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1" fontId="6" fillId="19" borderId="2" xfId="0" applyNumberFormat="1" applyFont="1" applyFill="1" applyBorder="1" applyAlignment="1">
      <x:alignment vertical="center" wrapText="1"/>
    </x:xf>
    <x:xf numFmtId="1" fontId="10" fillId="19" borderId="2" xfId="0" applyNumberFormat="1" applyFont="1" applyFill="1" applyBorder="1" applyAlignment="1">
      <x:alignment vertical="center" wrapText="1"/>
    </x:xf>
    <x:xf numFmtId="165" fontId="10" fillId="20" borderId="2" xfId="0" applyNumberFormat="1" applyFont="1" applyFill="1" applyBorder="1" applyAlignment="1">
      <x:alignment vertical="center" wrapText="1"/>
    </x:xf>
    <x:xf numFmtId="165" fontId="18" fillId="20" borderId="2" xfId="0" applyNumberFormat="1" applyFont="1" applyFill="1" applyBorder="1" applyAlignment="1">
      <x:alignment vertical="center" wrapText="1"/>
    </x:xf>
    <x:xf numFmtId="202" fontId="13" fillId="3" borderId="0" xfId="0" applyNumberFormat="1" applyFont="1" applyFill="1" applyBorder="1"/>
    <x:xf numFmtId="207" fontId="13" fillId="3" borderId="0" xfId="0" applyNumberFormat="1" applyFont="1" applyFill="1" applyBorder="1"/>
    <x:xf numFmtId="208" fontId="13" fillId="3" borderId="0" xfId="0" applyNumberFormat="1" applyFont="1" applyFill="1" applyBorder="1"/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1" fontId="10" fillId="22" borderId="2" xfId="0" applyNumberFormat="1" applyFont="1" applyFill="1" applyBorder="1" applyAlignment="1">
      <x:alignment vertical="center" wrapText="1"/>
    </x:xf>
    <x:xf numFmtId="165" fontId="18" fillId="23" borderId="2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5" fillId="24" borderId="0" xfId="0" applyNumberFormat="1" applyFont="1" applyFill="1" applyBorder="1"/>
    <x:xf numFmtId="0" fontId="5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wrapText="1"/>
    </x:xf>
    <x:xf numFmtId="0" fontId="5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4" fillId="28" borderId="0" xfId="0" applyNumberFormat="1" applyFont="1" applyFill="1" applyBorder="1" applyAlignment="1">
      <x:alignment wrapText="1"/>
    </x:xf>
    <x:xf numFmtId="0" fontId="14" fillId="28" borderId="0" xfId="0" applyNumberFormat="1" applyFont="1" applyFill="1" applyBorder="1" applyAlignment="1">
      <x:alignment vertical="center" wrapText="1"/>
    </x:xf>
    <x:xf numFmtId="0" fontId="14" fillId="29" borderId="0" xfId="0" applyNumberFormat="1" applyFont="1" applyFill="1" applyBorder="1" applyAlignment="1">
      <x:alignment vertical="center" wrapText="1"/>
    </x:xf>
    <x:xf numFmtId="0" fontId="19" fillId="29" borderId="0" xfId="0" applyNumberFormat="1" applyFont="1" applyFill="1" applyBorder="1" applyAlignment="1">
      <x:alignment vertical="center" wrapText="1"/>
    </x:xf>
    <x:xf numFmtId="0" fontId="20" fillId="29" borderId="0" xfId="0" applyNumberFormat="1" applyFont="1" applyFill="1" applyBorder="1" applyAlignment="1">
      <x:alignment vertical="center" wrapText="1"/>
    </x:xf>
    <x:xf numFmtId="0" fontId="14" fillId="30" borderId="0" xfId="0" applyNumberFormat="1" applyFont="1" applyFill="1" applyBorder="1" applyAlignment="1">
      <x:alignment vertical="center" wrapText="1"/>
    </x:xf>
    <x:xf numFmtId="0" fontId="21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7" fillId="31" borderId="0" xfId="0" applyNumberFormat="1" applyFont="1" applyFill="1" applyBorder="1"/>
    <x:xf numFmtId="0" fontId="17" fillId="31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22" fillId="30" borderId="0" xfId="0" applyNumberFormat="1" applyFont="1" applyFill="1" applyBorder="1"/>
    <x:xf numFmtId="0" fontId="0" fillId="32" borderId="0" xfId="0" applyNumberFormat="1" applyFont="1" applyFill="1" applyBorder="1"/>
    <x:xf numFmtId="0" fontId="23" fillId="32" borderId="0" xfId="0" applyNumberFormat="1" applyFont="1" applyFill="1" applyBorder="1"/>
    <x:xf numFmtId="0" fontId="24" fillId="32" borderId="0" xfId="0" applyNumberFormat="1" applyFont="1" applyFill="1" applyBorder="1"/>
    <x:xf numFmtId="0" fontId="14" fillId="26" borderId="0" xfId="0" applyNumberFormat="1" applyFont="1" applyFill="1" applyBorder="1"/>
    <x:xf numFmtId="0" fontId="14" fillId="26" borderId="3" xfId="0" applyNumberFormat="1" applyFont="1" applyFill="1" applyBorder="1"/>
    <x:xf numFmtId="0" fontId="25" fillId="28" borderId="0" xfId="0" applyNumberFormat="1" applyFont="1" applyFill="1" applyBorder="1"/>
    <x:xf numFmtId="0" fontId="25" fillId="28" borderId="0" xfId="0" applyNumberFormat="1" applyFont="1" applyFill="1" applyBorder="1" applyAlignment="1">
      <x:alignment wrapText="1"/>
    </x:xf>
    <x:xf numFmtId="0" fontId="24" fillId="32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vertical="center" wrapText="1"/>
    </x:xf>
    <x:xf numFmtId="200" fontId="20" fillId="29" borderId="0" xfId="0" applyNumberFormat="1" applyFont="1" applyFill="1" applyBorder="1" applyAlignment="1">
      <x:alignment vertical="center" wrapText="1"/>
    </x:xf>
    <x:xf numFmtId="200" fontId="14" fillId="28" borderId="0" xfId="0" applyNumberFormat="1" applyFont="1" applyFill="1" applyBorder="1" applyAlignment="1">
      <x:alignment vertical="center" wrapText="1"/>
    </x:xf>
    <x:xf numFmtId="200" fontId="21" fillId="30" borderId="0" xfId="0" applyNumberFormat="1" applyFont="1" applyFill="1" applyBorder="1" applyAlignment="1">
      <x:alignment vertical="center" wrapText="1"/>
    </x:xf>
    <x:xf numFmtId="200" fontId="19" fillId="29" borderId="0" xfId="0" applyNumberFormat="1" applyFont="1" applyFill="1" applyBorder="1" applyAlignment="1">
      <x:alignment vertical="center" wrapText="1"/>
    </x:xf>
    <x:xf numFmtId="164" fontId="19" fillId="29" borderId="0" xfId="0" applyNumberFormat="1" applyFont="1" applyFill="1" applyBorder="1" applyAlignment="1">
      <x:alignment vertical="center" wrapText="1"/>
    </x:xf>
    <x:xf numFmtId="209" fontId="22" fillId="30" borderId="0" xfId="0" applyNumberFormat="1" applyFont="1" applyFill="1" applyBorder="1"/>
    <x:xf numFmtId="209" fontId="14" fillId="26" borderId="3" xfId="0" applyNumberFormat="1" applyFont="1" applyFill="1" applyBorder="1"/>
    <x:xf numFmtId="209" fontId="24" fillId="32" borderId="0" xfId="0" applyNumberFormat="1" applyFont="1" applyFill="1" applyBorder="1"/>
    <x:xf numFmtId="164" fontId="22" fillId="30" borderId="0" xfId="0" applyNumberFormat="1" applyFont="1" applyFill="1" applyBorder="1"/>
    <x:xf numFmtId="164" fontId="24" fillId="32" borderId="0" xfId="0" applyNumberFormat="1" applyFont="1" applyFill="1" applyBorder="1"/>
    <x:xf numFmtId="164" fontId="14" fillId="26" borderId="3" xfId="0" applyNumberFormat="1" applyFont="1" applyFill="1" applyBorder="1"/>
    <x:xf numFmtId="203" fontId="24" fillId="32" borderId="0" xfId="0" applyNumberFormat="1" applyFont="1" applyFill="1" applyBorder="1"/>
    <x:xf numFmtId="200" fontId="24" fillId="32" borderId="0" xfId="0" applyNumberFormat="1" applyFont="1" applyFill="1" applyBorder="1"/>
    <x:xf numFmtId="200" fontId="22" fillId="30" borderId="0" xfId="0" applyNumberFormat="1" applyFont="1" applyFill="1" applyBorder="1"/>
    <x:xf numFmtId="200" fontId="14" fillId="26" borderId="3" xfId="0" applyNumberFormat="1" applyFont="1" applyFill="1" applyBorder="1"/>
    <x:xf numFmtId="200" fontId="23" fillId="32" borderId="0" xfId="0" applyNumberFormat="1" applyFont="1" applyFill="1" applyBorder="1"/>
    <x:xf numFmtId="0" fontId="0" fillId="33" borderId="0" xfId="0" applyNumberFormat="1" applyFont="1" applyFill="1" applyBorder="1"/>
    <x:xf numFmtId="0" fontId="5" fillId="33" borderId="0" xfId="0" applyNumberFormat="1" applyFont="1" applyFill="1" applyBorder="1"/>
    <x:xf numFmtId="0" fontId="5" fillId="33" borderId="0" xfId="0" applyNumberFormat="1" applyFont="1" applyFill="1" applyBorder="1" applyAlignment="1">
      <x:alignment vertical="center"/>
    </x:xf>
    <x:xf numFmtId="0" fontId="0" fillId="34" borderId="0" xfId="0" applyNumberFormat="1" applyFont="1" applyFill="1" applyBorder="1"/>
    <x:xf numFmtId="0" fontId="26" fillId="34" borderId="0" xfId="0" applyNumberFormat="1" applyFont="1" applyFill="1" applyBorder="1"/>
    <x:xf numFmtId="0" fontId="26" fillId="34" borderId="0" xfId="0" applyNumberFormat="1" applyFont="1" applyFill="1" applyBorder="1" applyAlignment="1">
      <x:alignment wrapText="1"/>
    </x:xf>
    <x:xf numFmtId="0" fontId="26" fillId="34" borderId="0" xfId="0" applyNumberFormat="1" applyFont="1" applyFill="1" applyBorder="1" applyAlignment="1">
      <x:alignment vertical="center" wrapText="1"/>
    </x:xf>
    <x:xf numFmtId="0" fontId="27" fillId="0" borderId="0" xfId="0" applyNumberFormat="1" applyFont="1" applyFill="1" applyBorder="1"/>
    <x:xf numFmtId="0" fontId="27" fillId="0" borderId="0" xfId="0" applyNumberFormat="1" applyFont="1" applyFill="1" applyBorder="1" applyAlignment="1">
      <x:alignment vertical="center"/>
    </x:xf>
    <x:xf numFmtId="0" fontId="27" fillId="35" borderId="0" xfId="0" applyNumberFormat="1" applyFont="1" applyFill="1" applyBorder="1" applyAlignment="1">
      <x:alignment vertical="center"/>
    </x:xf>
    <x:xf numFmtId="0" fontId="28" fillId="35" borderId="0" xfId="0" applyNumberFormat="1" applyFont="1" applyFill="1" applyBorder="1" applyAlignment="1">
      <x:alignment vertical="center"/>
    </x:xf>
    <x:xf numFmtId="0" fontId="27" fillId="36" borderId="0" xfId="0" applyNumberFormat="1" applyFont="1" applyFill="1" applyBorder="1" applyAlignment="1">
      <x:alignment vertical="center"/>
    </x:xf>
    <x:xf numFmtId="0" fontId="29" fillId="36" borderId="0" xfId="0" applyNumberFormat="1" applyFont="1" applyFill="1" applyBorder="1" applyAlignment="1">
      <x:alignment vertical="center"/>
    </x:xf>
    <x:xf numFmtId="0" fontId="29" fillId="36" borderId="0" xfId="0" applyNumberFormat="1" applyFont="1" applyFill="1" applyBorder="1" applyAlignment="1">
      <x:alignment vertical="center" wrapText="1"/>
    </x:xf>
    <x:xf numFmtId="0" fontId="27" fillId="33" borderId="0" xfId="0" applyNumberFormat="1" applyFont="1" applyFill="1" applyBorder="1" applyAlignment="1">
      <x:alignment vertical="center"/>
    </x:xf>
    <x:xf numFmtId="0" fontId="30" fillId="33" borderId="0" xfId="0" applyNumberFormat="1" applyFont="1" applyFill="1" applyBorder="1" applyAlignment="1">
      <x:alignment vertical="center"/>
    </x:xf>
    <x:xf numFmtId="0" fontId="27" fillId="37" borderId="0" xfId="0" applyNumberFormat="1" applyFont="1" applyFill="1" applyBorder="1" applyAlignment="1">
      <x:alignment vertical="center"/>
    </x:xf>
    <x:xf numFmtId="0" fontId="31" fillId="37" borderId="0" xfId="0" applyNumberFormat="1" applyFont="1" applyFill="1" applyBorder="1" applyAlignment="1">
      <x:alignment vertical="center"/>
    </x:xf>
    <x:xf numFmtId="0" fontId="31" fillId="37" borderId="0" xfId="0" applyNumberFormat="1" applyFont="1" applyFill="1" applyBorder="1" applyAlignment="1">
      <x:alignment vertical="center" wrapText="1"/>
    </x:xf>
    <x:xf numFmtId="0" fontId="31" fillId="37" borderId="0" xfId="0" applyNumberFormat="1" applyFont="1" applyFill="1" applyBorder="1" applyAlignment="1">
      <x:alignment horizontal="center" vertical="center" wrapText="1"/>
    </x:xf>
    <x:xf numFmtId="0" fontId="27" fillId="38" borderId="0" xfId="0" applyNumberFormat="1" applyFont="1" applyFill="1" applyBorder="1" applyAlignment="1">
      <x:alignment vertical="center"/>
    </x:xf>
    <x:xf numFmtId="0" fontId="32" fillId="38" borderId="0" xfId="0" applyNumberFormat="1" applyFont="1" applyFill="1" applyBorder="1" applyAlignment="1">
      <x:alignment vertical="center"/>
    </x:xf>
    <x:xf numFmtId="0" fontId="32" fillId="34" borderId="0" xfId="0" applyNumberFormat="1" applyFont="1" applyFill="1" applyBorder="1" applyAlignment="1">
      <x:alignment vertical="center"/>
    </x:xf>
    <x:xf numFmtId="0" fontId="27" fillId="39" borderId="0" xfId="0" applyNumberFormat="1" applyFont="1" applyFill="1" applyBorder="1" applyAlignment="1">
      <x:alignment vertical="center"/>
    </x:xf>
    <x:xf numFmtId="0" fontId="27" fillId="40" borderId="0" xfId="0" applyNumberFormat="1" applyFont="1" applyFill="1" applyBorder="1" applyAlignment="1">
      <x:alignment vertical="center"/>
    </x:xf>
    <x:xf numFmtId="0" fontId="33" fillId="40" borderId="0" xfId="0" applyNumberFormat="1" applyFont="1" applyFill="1" applyBorder="1" applyAlignment="1">
      <x:alignment vertical="center"/>
    </x:xf>
    <x:xf numFmtId="0" fontId="27" fillId="41" borderId="0" xfId="0" applyNumberFormat="1" applyFont="1" applyFill="1" applyBorder="1" applyAlignment="1">
      <x:alignment vertical="center"/>
    </x:xf>
    <x:xf numFmtId="0" fontId="27" fillId="41" borderId="0" xfId="0" applyNumberFormat="1" applyFont="1" applyFill="1" applyBorder="1" applyAlignment="1">
      <x:alignment vertical="center" wrapText="1"/>
    </x:xf>
    <x:xf numFmtId="0" fontId="27" fillId="0" borderId="0" xfId="0" applyNumberFormat="1" applyFont="1" applyFill="1" applyBorder="1" applyAlignment="1">
      <x:alignment vertical="center" wrapText="1"/>
    </x:xf>
    <x:xf numFmtId="0" fontId="27" fillId="42" borderId="0" xfId="0" applyNumberFormat="1" applyFont="1" applyFill="1" applyBorder="1" applyAlignment="1">
      <x:alignment vertical="center" wrapText="1"/>
    </x:xf>
    <x:xf numFmtId="0" fontId="27" fillId="43" borderId="0" xfId="0" applyNumberFormat="1" applyFont="1" applyFill="1" applyBorder="1" applyAlignment="1">
      <x:alignment vertical="center" wrapText="1"/>
    </x:xf>
    <x:xf numFmtId="0" fontId="27" fillId="44" borderId="0" xfId="0" applyNumberFormat="1" applyFont="1" applyFill="1" applyBorder="1" applyAlignment="1">
      <x:alignment vertical="center" wrapText="1"/>
    </x:xf>
    <x:xf numFmtId="0" fontId="34" fillId="40" borderId="0" xfId="0" applyNumberFormat="1" applyFont="1" applyFill="1" applyBorder="1" applyAlignment="1">
      <x:alignment vertical="center"/>
    </x:xf>
    <x:xf numFmtId="0" fontId="34" fillId="40" borderId="0" xfId="0" applyNumberFormat="1" applyFont="1" applyFill="1" applyBorder="1" applyAlignment="1">
      <x:alignment vertical="center" wrapText="1"/>
    </x:xf>
    <x:xf numFmtId="0" fontId="27" fillId="40" borderId="0" xfId="0" applyNumberFormat="1" applyFont="1" applyFill="1" applyBorder="1" applyAlignment="1">
      <x:alignment vertical="center" wrapText="1"/>
    </x:xf>
    <x:xf numFmtId="0" fontId="35" fillId="40" borderId="0" xfId="0" applyNumberFormat="1" applyFont="1" applyFill="1" applyBorder="1" applyAlignment="1">
      <x:alignment vertical="center" wrapText="1"/>
    </x:xf>
    <x:xf numFmtId="0" fontId="32" fillId="38" borderId="0" xfId="0" applyNumberFormat="1" applyFont="1" applyFill="1" applyBorder="1" applyAlignment="1">
      <x:alignment vertical="center" wrapText="1"/>
    </x:xf>
    <x:xf numFmtId="0" fontId="32" fillId="41" borderId="0" xfId="0" applyNumberFormat="1" applyFont="1" applyFill="1" applyBorder="1" applyAlignment="1">
      <x:alignment vertical="center" wrapText="1"/>
    </x:xf>
    <x:xf numFmtId="209" fontId="27" fillId="39" borderId="0" xfId="0" applyNumberFormat="1" applyFont="1" applyFill="1" applyBorder="1" applyAlignment="1">
      <x:alignment vertical="center"/>
    </x:xf>
    <x:xf numFmtId="164" fontId="27" fillId="39" borderId="0" xfId="0" applyNumberFormat="1" applyFont="1" applyFill="1" applyBorder="1" applyAlignment="1">
      <x:alignment vertical="center"/>
    </x:xf>
    <x:xf numFmtId="209" fontId="33" fillId="40" borderId="0" xfId="0" applyNumberFormat="1" applyFont="1" applyFill="1" applyBorder="1" applyAlignment="1">
      <x:alignment vertical="center"/>
    </x:xf>
    <x:xf numFmtId="164" fontId="32" fillId="34" borderId="0" xfId="0" applyNumberFormat="1" applyFont="1" applyFill="1" applyBorder="1" applyAlignment="1">
      <x:alignment vertical="center"/>
    </x:xf>
    <x:xf numFmtId="164" fontId="27" fillId="42" borderId="0" xfId="0" applyNumberFormat="1" applyFont="1" applyFill="1" applyBorder="1" applyAlignment="1">
      <x:alignment vertical="center" wrapText="1"/>
    </x:xf>
    <x:xf numFmtId="164" fontId="27" fillId="43" borderId="0" xfId="0" applyNumberFormat="1" applyFont="1" applyFill="1" applyBorder="1" applyAlignment="1">
      <x:alignment vertical="center" wrapText="1"/>
    </x:xf>
    <x:xf numFmtId="164" fontId="27" fillId="44" borderId="0" xfId="0" applyNumberFormat="1" applyFont="1" applyFill="1" applyBorder="1" applyAlignment="1">
      <x:alignment vertical="center" wrapText="1"/>
    </x:xf>
    <x:xf numFmtId="164" fontId="34" fillId="40" borderId="0" xfId="0" applyNumberFormat="1" applyFont="1" applyFill="1" applyBorder="1" applyAlignment="1">
      <x:alignment vertical="center" wrapText="1"/>
    </x:xf>
    <x:xf numFmtId="209" fontId="27" fillId="42" borderId="0" xfId="0" applyNumberFormat="1" applyFont="1" applyFill="1" applyBorder="1" applyAlignment="1">
      <x:alignment vertical="center" wrapText="1"/>
    </x:xf>
    <x:xf numFmtId="209" fontId="27" fillId="43" borderId="0" xfId="0" applyNumberFormat="1" applyFont="1" applyFill="1" applyBorder="1" applyAlignment="1">
      <x:alignment vertical="center" wrapText="1"/>
    </x:xf>
    <x:xf numFmtId="209" fontId="27" fillId="44" borderId="0" xfId="0" applyNumberFormat="1" applyFont="1" applyFill="1" applyBorder="1" applyAlignment="1">
      <x:alignment vertical="center" wrapText="1"/>
    </x:xf>
    <x:xf numFmtId="209" fontId="34" fillId="40" borderId="0" xfId="0" applyNumberFormat="1" applyFont="1" applyFill="1" applyBorder="1" applyAlignment="1">
      <x:alignment vertical="center" wrapText="1"/>
    </x:xf>
    <x:xf numFmtId="210" fontId="27" fillId="42" borderId="0" xfId="0" applyNumberFormat="1" applyFont="1" applyFill="1" applyBorder="1" applyAlignment="1">
      <x:alignment vertical="center" wrapText="1"/>
    </x:xf>
    <x:xf numFmtId="209" fontId="35" fillId="40" borderId="0" xfId="0" applyNumberFormat="1" applyFont="1" applyFill="1" applyBorder="1" applyAlignment="1">
      <x:alignment vertical="center" wrapText="1"/>
    </x:xf>
  </x:cellXfs>
  <x:cellStyles count="1">
    <x:cellStyle name="Обычный" xfId="0"/>
  </x:cellStyles>
  <x:dxfs count="10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5B9BD5"/>
      <x:rgbColor rgb="FF993366"/>
      <x:rgbColor rgb="FFFFF2CC"/>
      <x:rgbColor rgb="FFDDEBF7"/>
      <x:rgbColor rgb="FF660066"/>
      <x:rgbColor rgb="FFFF8080"/>
      <x:rgbColor rgb="FF0066CC"/>
      <x:rgbColor rgb="FFCBD5E1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2F2F2"/>
      <x:rgbColor rgb="FFE2F0D9"/>
      <x:rgbColor rgb="FFFFFF99"/>
      <x:rgbColor rgb="FF99CCFF"/>
      <x:rgbColor rgb="FFFF99CC"/>
      <x:rgbColor rgb="FFCC99FF"/>
      <x:rgbColor rgb="FFFCE4D6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2F5597"/>
      <x:rgbColor rgb="FF1F2937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29742e6694eb5" /><Relationship Type="http://schemas.openxmlformats.org/officeDocument/2006/relationships/theme" Target="/xl/theme/theme1.xml" Id="R403fc39ae60a484b" /><Relationship Type="http://schemas.openxmlformats.org/officeDocument/2006/relationships/sharedStrings" Target="/xl/sharedStrings.xml" Id="Rd1a11399840649a2" /><Relationship Type="http://schemas.openxmlformats.org/officeDocument/2006/relationships/worksheet" Target="/xl/worksheets/sheet1.xml" Id="R79d28abed7984974" /><Relationship Type="http://schemas.openxmlformats.org/officeDocument/2006/relationships/worksheet" Target="/xl/worksheets/sheet2.xml" Id="R5c6c277e0df4438e" /><Relationship Type="http://schemas.openxmlformats.org/officeDocument/2006/relationships/worksheet" Target="/xl/worksheets/sheet3.xml" Id="R2d478985fde84d9d" /><Relationship Type="http://schemas.openxmlformats.org/officeDocument/2006/relationships/worksheet" Target="/xl/worksheets/sheet4.xml" Id="R57dc0acc01584f89" /><Relationship Type="http://schemas.openxmlformats.org/officeDocument/2006/relationships/worksheet" Target="/xl/worksheets/sheet5.xml" Id="R46296a5ecb1f441c" /><Relationship Type="http://schemas.microsoft.com/office/2017/10/relationships/person" Target="/xl/persons/person.xml" Id="R335589594fd54ce1" /></Relationships>
</file>

<file path=xl/persons/person.xml><?xml version="1.0" encoding="utf-8"?>
<xltc:personList xmlns:xltc="http://schemas.microsoft.com/office/spreadsheetml/2018/threadedcomments">
  <xltc:person displayName="Codex" id="{C899D242-95DD-96F1-182D-2A9D0C43B24B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acb46454d07482c" /><Relationship Type="http://schemas.openxmlformats.org/officeDocument/2006/relationships/vmlDrawing" Target="/xl/drawings/vmldrawing.vml" Id="R0a1018d3ab7d47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5546875" defaultRowHeight="14.399999618530273"/>
  <x:cols>
    <x:col min="1" max="1" width="21" style="1" customWidth="1"/>
    <x:col min="2" max="2" width="14" style="1" customWidth="1"/>
    <x:col min="3" max="3" width="15.6640625" style="1" customWidth="1"/>
    <x:col min="4" max="4" width="16" style="1" customWidth="1"/>
    <x:col min="5" max="5" width="11" style="1" customWidth="1"/>
    <x:col min="6" max="6" width="24" style="1" customWidth="1"/>
    <x:col min="7" max="9" width="14" style="1" customWidth="1"/>
    <x:col min="10" max="10" width="16" style="1" customWidth="1"/>
    <x:col min="11" max="11" width="14" style="1" customWidth="1"/>
    <x:col min="12" max="12" width="19" style="1" customWidth="1"/>
  </x:cols>
  <x:sheetData>
    <x:row r="1" ht="31.5" customHeight="1">
      <x:c r="A1" s="38" t="str">
        <x:v>LTI: capacity для 20 человек, набор 10 → 15 → 18 → 20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</x:row>
    <x:row r="2" ht="36" customHeight="1">
      <x:c r="A2" s="39" t="str">
        <x:v>Один входной грант на человека; повторные годовые гранты действующим участникам не включены. Пакеты при 100% результата: 1,00 / 1,00 / 0,50 оклада. Голубые ячейки — ввод.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</x:row>
    <x:row r="4" ht="15" customHeight="1">
      <x:c r="A4" s="40" t="s">
        <x:v>0</x:v>
      </x:c>
      <x:c r="B4" s="40"/>
      <x:c r="C4" s="40"/>
      <x:c r="D4" s="40" t="s">
        <x:v>1</x:v>
      </x:c>
      <x:c r="E4" s="40"/>
      <x:c r="F4" s="40"/>
      <x:c r="G4" s="40" t="s">
        <x:v>2</x:v>
      </x:c>
      <x:c r="H4" s="40"/>
      <x:c r="I4" s="40"/>
      <x:c r="J4" s="40" t="s">
        <x:v>3</x:v>
      </x:c>
      <x:c r="K4" s="40"/>
      <x:c r="L4" s="40"/>
    </x:row>
    <x:row r="5" ht="15" customHeight="1">
      <x:c r="A5" s="34" t="n">
        <x:f>G25</x:f>
        <x:v>20</x:v>
      </x:c>
      <x:c r="B5" s="34"/>
      <x:c r="C5" s="34"/>
      <x:c r="D5" s="35" t="str">
        <x:f>G22&amp;" → "&amp;G23&amp;" → "&amp;G24&amp;" → "&amp;G25</x:f>
        <x:v>10 → 15 → 18 → 20</x:v>
      </x:c>
      <x:c r="E5" s="35"/>
      <x:c r="F5" s="35"/>
      <x:c r="G5" s="36" t="n">
        <x:f>E31</x:f>
        <x:v>1.101360443758551</x:v>
      </x:c>
      <x:c r="H5" s="36"/>
      <x:c r="I5" s="36"/>
      <x:c r="J5" s="37" t="n">
        <x:f>H31</x:f>
        <x:v>731.6351194893602</x:v>
      </x:c>
      <x:c r="K5" s="37"/>
      <x:c r="L5" s="37"/>
    </x:row>
    <x:row r="6" ht="15" customHeight="1">
      <x:c r="A6" s="34"/>
      <x:c r="B6" s="34"/>
      <x:c r="C6" s="34"/>
      <x:c r="D6" s="35"/>
      <x:c r="E6" s="35"/>
      <x:c r="F6" s="35"/>
      <x:c r="G6" s="36"/>
      <x:c r="H6" s="36"/>
      <x:c r="I6" s="36"/>
      <x:c r="J6" s="37"/>
      <x:c r="K6" s="37"/>
      <x:c r="L6" s="37"/>
    </x:row>
    <x:row r="8" ht="21.75" customHeight="1">
      <x:c r="A8" s="28" t="s">
        <x:v>4</x:v>
      </x:c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</x:row>
    <x:row r="9" ht="36" customHeight="1">
      <x:c r="A9" s="2" t="s">
        <x:v>5</x:v>
      </x:c>
      <x:c r="B9" s="2" t="s">
        <x:v>6</x:v>
      </x:c>
      <x:c r="C9" s="2" t="s">
        <x:v>7</x:v>
      </x:c>
      <x:c r="D9" s="2" t="s">
        <x:v>8</x:v>
      </x:c>
      <x:c r="F9" s="2" t="s">
        <x:v>9</x:v>
      </x:c>
      <x:c r="G9" s="2" t="s">
        <x:v>10</x:v>
      </x:c>
      <x:c r="H9" s="2" t="s">
        <x:v>11</x:v>
      </x:c>
      <x:c r="I9" s="2" t="s">
        <x:v>12</x:v>
      </x:c>
      <x:c r="J9" s="2" t="s">
        <x:v>13</x:v>
      </x:c>
      <x:c r="K9" s="2" t="s">
        <x:v>14</x:v>
      </x:c>
      <x:c r="L9" s="2" t="s">
        <x:v>15</x:v>
      </x:c>
    </x:row>
    <x:row r="10" ht="21.75" customHeight="1">
      <x:c r="A10" s="3" t="s">
        <x:v>16</x:v>
      </x:c>
      <x:c r="B10" s="43">
        <x:v>1600</x:v>
      </x:c>
      <x:c r="C10" s="3" t="s">
        <x:v>17</x:v>
      </x:c>
      <x:c r="D10" s="5" t="n">
        <x:f>B10-B11</x:f>
        <x:v>1200</x:v>
      </x:c>
      <x:c r="F10" s="3" t="s">
        <x:v>18</x:v>
      </x:c>
      <x:c r="G10" s="43">
        <x:v>1.5</x:v>
      </x:c>
      <x:c r="H10" s="103" t="n">
        <x:f>G10*12</x:f>
        <x:v>18</x:v>
      </x:c>
      <x:c r="I10" s="53" t="n">
        <x:v>1</x:v>
      </x:c>
      <x:c r="J10" s="5" t="n">
        <x:f>H10*I10*$B$15</x:f>
        <x:v>18</x:v>
      </x:c>
      <x:c r="K10" s="7" t="n">
        <x:f>SUM(C22:C25)</x:f>
        <x:v>3</x:v>
      </x:c>
      <x:c r="L10" s="5" t="n">
        <x:f>J10*K10</x:f>
        <x:v>54</x:v>
      </x:c>
    </x:row>
    <x:row r="11" ht="21.75" customHeight="1">
      <x:c r="A11" s="8" t="s">
        <x:v>19</x:v>
      </x:c>
      <x:c r="B11" s="43">
        <x:v>400</x:v>
      </x:c>
      <x:c r="C11" s="8" t="s">
        <x:v>20</x:v>
      </x:c>
      <x:c r="D11" s="9" t="n">
        <x:f>D10*1000000/B12</x:f>
        <x:v>12</x:v>
      </x:c>
      <x:c r="F11" s="8" t="s">
        <x:v>21</x:v>
      </x:c>
      <x:c r="G11" s="43">
        <x:v>1</x:v>
      </x:c>
      <x:c r="H11" s="103" t="n">
        <x:f>G11*12</x:f>
        <x:v>12</x:v>
      </x:c>
      <x:c r="I11" s="53" t="n">
        <x:v>1</x:v>
      </x:c>
      <x:c r="J11" s="5" t="n">
        <x:f>H11*I11*$B$15</x:f>
        <x:v>12</x:v>
      </x:c>
      <x:c r="K11" s="7" t="n">
        <x:f>SUM(D22:D25)</x:f>
        <x:v>7</x:v>
      </x:c>
      <x:c r="L11" s="5" t="n">
        <x:f>J11*K11</x:f>
        <x:v>84</x:v>
      </x:c>
    </x:row>
    <x:row r="12" ht="21.75" customHeight="1">
      <x:c r="A12" s="3" t="s">
        <x:v>22</x:v>
      </x:c>
      <x:c r="B12" s="44">
        <x:v>100000000</x:v>
      </x:c>
      <x:c r="C12" s="3" t="s">
        <x:v>23</x:v>
      </x:c>
      <x:c r="D12" s="7" t="n">
        <x:f>B11*1000000/D11</x:f>
        <x:v>33333333.333333332</x:v>
      </x:c>
      <x:c r="F12" s="3" t="s">
        <x:v>24</x:v>
      </x:c>
      <x:c r="G12" s="43">
        <x:v>0.6</x:v>
      </x:c>
      <x:c r="H12" s="103" t="n">
        <x:f>G12*12</x:f>
        <x:v>7.199999999999999</x:v>
      </x:c>
      <x:c r="I12" s="53" t="n">
        <x:v>0.5</x:v>
      </x:c>
      <x:c r="J12" s="5" t="n">
        <x:f>H12*I12*$B$15</x:f>
        <x:v>3.5999999999999996</x:v>
      </x:c>
      <x:c r="K12" s="7" t="n">
        <x:f>SUM(E22:E25)</x:f>
        <x:v>10</x:v>
      </x:c>
      <x:c r="L12" s="5" t="n">
        <x:f>J12*K12</x:f>
        <x:v>36</x:v>
      </x:c>
    </x:row>
    <x:row r="13" ht="21.75" customHeight="1">
      <x:c r="A13" s="8" t="str">
        <x:v>Пул LTI на дату создания, % FD до раунда</x:v>
      </x:c>
      <x:c r="B13" s="50" t="n">
        <x:v>0.1</x:v>
      </x:c>
      <x:c r="C13" s="8" t="s">
        <x:v>25</x:v>
      </x:c>
      <x:c r="D13" s="7" t="n">
        <x:f>B12+D12</x:f>
        <x:v>133333333.33333333</x:v>
      </x:c>
      <x:c r="F13" s="8" t="s">
        <x:v>26</x:v>
      </x:c>
      <x:c r="G13" s="8"/>
      <x:c r="H13" s="8"/>
      <x:c r="I13" s="8"/>
      <x:c r="J13" s="8"/>
      <x:c r="K13" s="7" t="n">
        <x:f>SUM(K10:K12)</x:f>
        <x:v>20</x:v>
      </x:c>
      <x:c r="L13" s="5" t="n">
        <x:f>SUM(L10:L12)</x:f>
        <x:v>174</x:v>
      </x:c>
    </x:row>
    <x:row r="14" ht="14.399999618530273" hidden="0" customHeight="1">
      <x:c r="A14" s="3" t="str">
        <x:v>Доля нового выпуска post-money / размытие прежних</x:v>
      </x:c>
      <x:c r="B14" s="46">
        <x:v>0.1</x:v>
      </x:c>
      <x:c r="C14" s="89" t="str">
        <x:v>Пул LTI, единиц</x:v>
      </x:c>
      <x:c r="D14" s="51" t="n">
        <x:f>B12*B13</x:f>
        <x:v>10000000</x:v>
      </x:c>
    </x:row>
    <x:row r="15" ht="21.600000381469727" hidden="0" customHeight="1">
      <x:c r="A15" s="8" t="str">
        <x:v>Результат для capacity-check (100%)</x:v>
      </x:c>
      <x:c r="B15" s="50" t="n">
        <x:v>1</x:v>
      </x:c>
      <x:c r="C15" s="90" t="str">
        <x:v>Единиц прежних владельцев</x:v>
      </x:c>
      <x:c r="D15" s="51" t="n">
        <x:f>B12-D14</x:f>
        <x:v>90000000</x:v>
      </x:c>
      <x:c r="F15" s="33" t="str">
        <x:v>Единый hard cap — 10% fully diluted капитала до указанного раунда: 10,00 млн из 100,00 млн units. Плановые диапазоны внутри него: 5% / 5,00 млн units для текущей команды; 4% / 4,00 млн — для будущих сильных наймов; 1% / 1,00 млн — резерв Совета. После cash-in 400 млн ₽ при pre-money 1,2 млрд ₽ эти диапазоны становятся 3,75% / 3,00% / 0,75% компании. Перераспределять можно только внутри общего 10%-го лимита; auto top-up нет.</x:v>
      </x:c>
      <x:c r="G15" s="33"/>
      <x:c r="H15" s="33"/>
      <x:c r="I15" s="33"/>
      <x:c r="J15" s="33"/>
      <x:c r="K15" s="33"/>
      <x:c r="L15" s="33"/>
    </x:row>
    <x:row r="16" ht="21.600000381469727" hidden="0" customHeight="1">
      <x:c r="A16" s="3" t="s">
        <x:v>27</x:v>
      </x:c>
      <x:c r="B16" s="43">
        <x:v>5000</x:v>
      </x:c>
      <x:c r="C16" s="89" t="str">
        <x:v>Денежная ёмкость пула, млн ₽</x:v>
      </x:c>
      <x:c r="D16" s="51" t="n">
        <x:f>D14*D11/1000000</x:f>
        <x:v>120</x:v>
      </x:c>
      <x:c r="F16" s="33"/>
      <x:c r="G16" s="33"/>
      <x:c r="H16" s="33"/>
      <x:c r="I16" s="33"/>
      <x:c r="J16" s="33"/>
      <x:c r="K16" s="33"/>
      <x:c r="L16" s="33"/>
    </x:row>
    <x:row r="17" ht="21.600000381469727" hidden="0" customHeight="1">
      <x:c r="A17" s="8" t="s">
        <x:v>28</x:v>
      </x:c>
      <x:c r="B17" s="43">
        <x:v>15000</x:v>
      </x:c>
      <x:c r="C17" s="90" t="str">
        <x:v>Доля инвестора после cash-in</x:v>
      </x:c>
      <x:c r="D17" s="12" t="n">
        <x:f>D12/D13</x:f>
        <x:v>0.25</x:v>
      </x:c>
      <x:c r="F17" s="33"/>
      <x:c r="G17" s="33"/>
      <x:c r="H17" s="33"/>
      <x:c r="I17" s="33"/>
      <x:c r="J17" s="33"/>
      <x:c r="K17" s="33"/>
      <x:c r="L17" s="33"/>
    </x:row>
    <x:row r="18" ht="21.600000381469727" hidden="0" customHeight="1">
      <x:c r="A18" s="3" t="s">
        <x:v>29</x:v>
      </x:c>
      <x:c r="B18" s="43">
        <x:v>25000</x:v>
      </x:c>
      <x:c r="C18" s="89" t="str">
        <x:v>Доля прежних владельцев</x:v>
      </x:c>
      <x:c r="D18" s="12" t="n">
        <x:f>D15/D13</x:f>
        <x:v>0.675</x:v>
      </x:c>
      <x:c r="F18" s="33"/>
      <x:c r="G18" s="33"/>
      <x:c r="H18" s="33"/>
      <x:c r="I18" s="33"/>
      <x:c r="J18" s="33"/>
      <x:c r="K18" s="33"/>
      <x:c r="L18" s="33"/>
    </x:row>
    <x:row r="19" ht="26.399999618530273" hidden="0" customHeight="1">
      <x:c r="C19" s="76" t="str">
        <x:v>Доля пула после cash-in</x:v>
      </x:c>
      <x:c r="D19" s="52" t="n">
        <x:f>D14/D13</x:f>
        <x:v>0.075</x:v>
      </x:c>
    </x:row>
    <x:row r="20" ht="21.75" customHeight="1">
      <x:c r="A20" s="28" t="s">
        <x:v>30</x:v>
      </x:c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</x:row>
    <x:row r="21" ht="36" customHeight="1">
      <x:c r="A21" s="2" t="s">
        <x:v>31</x:v>
      </x:c>
      <x:c r="B21" s="2" t="str">
        <x:v>Индекс начальной цены года</x:v>
      </x:c>
      <x:c r="C21" s="2" t="s">
        <x:v>32</x:v>
      </x:c>
      <x:c r="D21" s="2" t="s">
        <x:v>33</x:v>
      </x:c>
      <x:c r="E21" s="2" t="s">
        <x:v>34</x:v>
      </x:c>
      <x:c r="F21" s="2" t="s">
        <x:v>35</x:v>
      </x:c>
      <x:c r="G21" s="2" t="s">
        <x:v>36</x:v>
      </x:c>
      <x:c r="H21" s="2" t="s">
        <x:v>37</x:v>
      </x:c>
      <x:c r="I21" s="2" t="s">
        <x:v>38</x:v>
      </x:c>
      <x:c r="J21" s="2" t="s">
        <x:v>39</x:v>
      </x:c>
      <x:c r="K21" s="2" t="s">
        <x:v>40</x:v>
      </x:c>
      <x:c r="L21" s="2" t="s">
        <x:v>41</x:v>
      </x:c>
    </x:row>
    <x:row r="22" ht="21.75" customHeight="1">
      <x:c r="A22" s="3" t="s">
        <x:v>42</x:v>
      </x:c>
      <x:c r="B22" s="102">
        <x:v>0</x:v>
      </x:c>
      <x:c r="C22" s="102">
        <x:v>2</x:v>
      </x:c>
      <x:c r="D22" s="102">
        <x:v>4</x:v>
      </x:c>
      <x:c r="E22" s="102">
        <x:v>4</x:v>
      </x:c>
      <x:c r="F22" s="7" t="n">
        <x:f>SUM(C22:E22)</x:f>
        <x:v>10</x:v>
      </x:c>
      <x:c r="G22" s="7" t="n">
        <x:f>F22</x:f>
        <x:v>10</x:v>
      </x:c>
      <x:c r="H22" s="5" t="n">
        <x:f>C22*$J$10+D22*$J$11+E22*$J$12</x:f>
        <x:v>98.4</x:v>
      </x:c>
      <x:c r="I22" s="9" t="n">
        <x:f>INDEX($J$37:$J$42,B22+1)</x:f>
        <x:v>12.000000000000002</x:v>
      </x:c>
      <x:c r="J22" s="9" t="n">
        <x:f>INDEX($K$37:$K$42,B22+1)</x:f>
        <x:v>12.000000000000002</x:v>
      </x:c>
      <x:c r="K22" s="9" t="n">
        <x:f>INDEX($L$37:$L$42,B22+1)</x:f>
        <x:v>12.000000000000002</x:v>
      </x:c>
      <x:c r="L22" s="3" t="str">
        <x:v>Цена на начало года 1</x:v>
      </x:c>
    </x:row>
    <x:row r="23" ht="21.75" customHeight="1">
      <x:c r="A23" s="8" t="s">
        <x:v>43</x:v>
      </x:c>
      <x:c r="B23" s="102">
        <x:v>1</x:v>
      </x:c>
      <x:c r="C23" s="102">
        <x:v>1</x:v>
      </x:c>
      <x:c r="D23" s="102">
        <x:v>2</x:v>
      </x:c>
      <x:c r="E23" s="102" t="n">
        <x:v>2</x:v>
      </x:c>
      <x:c r="F23" s="7" t="n">
        <x:f>SUM(C23:E23)</x:f>
        <x:v>5</x:v>
      </x:c>
      <x:c r="G23" s="7" t="n">
        <x:f>G22+F23</x:f>
        <x:v>15</x:v>
      </x:c>
      <x:c r="H23" s="5" t="n">
        <x:f>C23*$J$10+D23*$J$11+E23*$J$12</x:f>
        <x:v>49.2</x:v>
      </x:c>
      <x:c r="I23" s="9" t="n">
        <x:f>INDEX($J$37:$J$42,B23+1)</x:f>
        <x:v>15.78969578634948</x:v>
      </x:c>
      <x:c r="J23" s="9" t="n">
        <x:f>INDEX($K$37:$K$42,B23+1)</x:f>
        <x:v>22.77268196314723</x:v>
      </x:c>
      <x:c r="K23" s="9" t="n">
        <x:f>INDEX($L$37:$L$42,B23+1)</x:f>
        <x:v>27.000000000000004</x:v>
      </x:c>
      <x:c r="L23" s="8" t="str">
        <x:v>Цена на начало года 2</x:v>
      </x:c>
    </x:row>
    <x:row r="24" ht="21.75" customHeight="1">
      <x:c r="A24" s="3" t="s">
        <x:v>44</x:v>
      </x:c>
      <x:c r="B24" s="102">
        <x:v>2</x:v>
      </x:c>
      <x:c r="C24" s="102">
        <x:v>0</x:v>
      </x:c>
      <x:c r="D24" s="102">
        <x:v>1</x:v>
      </x:c>
      <x:c r="E24" s="102">
        <x:v>2</x:v>
      </x:c>
      <x:c r="F24" s="7" t="n">
        <x:f>SUM(C24:E24)</x:f>
        <x:v>3</x:v>
      </x:c>
      <x:c r="G24" s="7" t="n">
        <x:f>G23+F24</x:f>
        <x:v>18</x:v>
      </x:c>
      <x:c r="H24" s="5" t="n">
        <x:f>C24*$J$10+D24*$J$11+E24*$J$12</x:f>
        <x:v>19.2</x:v>
      </x:c>
      <x:c r="I24" s="9" t="n">
        <x:f>INDEX($J$37:$J$42,B24+1)</x:f>
        <x:v>19.256452288402528</x:v>
      </x:c>
      <x:c r="J24" s="9" t="n">
        <x:f>INDEX($K$37:$K$42,B24+1)</x:f>
        <x:v>37.22622781302492</x:v>
      </x:c>
      <x:c r="K24" s="9" t="n">
        <x:f>INDEX($L$37:$L$42,B24+1)</x:f>
        <x:v>50.57760734966379</x:v>
      </x:c>
      <x:c r="L24" s="3" t="str">
        <x:v>Цена на начало года 3</x:v>
      </x:c>
    </x:row>
    <x:row r="25" ht="21.75" customHeight="1">
      <x:c r="A25" s="8" t="s">
        <x:v>45</x:v>
      </x:c>
      <x:c r="B25" s="102">
        <x:v>3</x:v>
      </x:c>
      <x:c r="C25" s="102">
        <x:v>0</x:v>
      </x:c>
      <x:c r="D25" s="102">
        <x:v>0</x:v>
      </x:c>
      <x:c r="E25" s="102" t="n">
        <x:v>2</x:v>
      </x:c>
      <x:c r="F25" s="7" t="n">
        <x:f>SUM(C25:E25)</x:f>
        <x:v>2</x:v>
      </x:c>
      <x:c r="G25" s="7" t="n">
        <x:f>G24+F25</x:f>
        <x:v>20</x:v>
      </x:c>
      <x:c r="H25" s="5" t="n">
        <x:f>C25*$J$10+D25*$J$11+E25*$J$12</x:f>
        <x:v>7.199999999999999</x:v>
      </x:c>
      <x:c r="I25" s="9" t="n">
        <x:f>INDEX($J$37:$J$42,B25+1)</x:f>
        <x:v>21.766509550012465</x:v>
      </x:c>
      <x:c r="J25" s="9" t="n">
        <x:f>INDEX($K$37:$K$42,B25+1)</x:f>
        <x:v>52.41864561073794</x:v>
      </x:c>
      <x:c r="K25" s="9" t="n">
        <x:f>INDEX($L$37:$L$42,B25+1)</x:f>
        <x:v>78.87961735547692</x:v>
      </x:c>
      <x:c r="L25" s="8" t="str">
        <x:v>Цена на начало года 4</x:v>
      </x:c>
    </x:row>
    <x:row r="26" ht="21.75" customHeight="1">
      <x:c r="A26" s="3" t="s">
        <x:v>26</x:v>
      </x:c>
      <x:c r="B26" s="3"/>
      <x:c r="C26" s="13" t="n">
        <x:f>SUM(C22:C25)</x:f>
        <x:v>3</x:v>
      </x:c>
      <x:c r="D26" s="13" t="n">
        <x:f>SUM(D22:D25)</x:f>
        <x:v>7</x:v>
      </x:c>
      <x:c r="E26" s="13" t="n">
        <x:f>SUM(E22:E25)</x:f>
        <x:v>10</x:v>
      </x:c>
      <x:c r="F26" s="13" t="n">
        <x:f>SUM(F22:F25)</x:f>
        <x:v>20</x:v>
      </x:c>
      <x:c r="G26" s="13" t="n">
        <x:f>G25</x:f>
        <x:v>20</x:v>
      </x:c>
      <x:c r="H26" s="14" t="n">
        <x:f>SUM(H22:H25)</x:f>
        <x:v>174</x:v>
      </x:c>
      <x:c r="I26" s="3"/>
      <x:c r="J26" s="3"/>
      <x:c r="K26" s="3"/>
      <x:c r="L26" s="3"/>
    </x:row>
    <x:row r="28" ht="21.75" customHeight="1">
      <x:c r="A28" s="28" t="s">
        <x:v>46</x:v>
      </x:c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</x:row>
    <x:row r="29" ht="36" customHeight="1">
      <x:c r="A29" s="2" t="str">
        <x:v>Сценарий</x:v>
      </x:c>
      <x:c r="B29" s="2" t="str">
        <x:v>Common equity в году 5, млн ₽</x:v>
      </x:c>
      <x:c r="C29" s="2" t="str">
        <x:v>Пакеты при выдаче, млн ₽</x:v>
      </x:c>
      <x:c r="D29" s="2" t="str">
        <x:v>Зарезервировано/выдано единиц</x:v>
      </x:c>
      <x:c r="E29" s="2" t="str">
        <x:v>Использовано пула</x:v>
      </x:c>
      <x:c r="F29" s="2" t="str">
        <x:v>Свободно единиц</x:v>
      </x:c>
      <x:c r="G29" s="2" t="str">
        <x:v>Доля компании в году 5</x:v>
      </x:c>
      <x:c r="H29" s="2" t="str">
        <x:v>Потенциальная gross value всех единиц, млн ₽</x:v>
      </x:c>
      <x:c r="I29" s="2" t="str">
        <x:v>Стоимость свободного резерва, млн ₽</x:v>
      </x:c>
      <x:c r="J29" s="2" t="str">
        <x:v>Рост к сумме пакетов</x:v>
      </x:c>
      <x:c r="K29" s="2" t="str">
        <x:v>Статус</x:v>
      </x:c>
      <x:c r="L29" s="2" t="str">
        <x:v>Смысл</x:v>
      </x:c>
    </x:row>
    <x:row r="30" ht="21.75" customHeight="1">
      <x:c r="A30" s="3" t="s">
        <x:v>47</x:v>
      </x:c>
      <x:c r="B30" s="14" t="n">
        <x:f>$B$16</x:f>
        <x:v>5000</x:v>
      </x:c>
      <x:c r="C30" s="14" t="n">
        <x:f>$H$26</x:f>
        <x:v>174</x:v>
      </x:c>
      <x:c r="D30" s="13" t="n">
        <x:f>$H$22*1000000/I$22+$H$23*1000000/I$23+$H$24*1000000/I$24+$H$25*1000000/I$25</x:f>
        <x:v>12643807.964103464</x:v>
      </x:c>
      <x:c r="E30" s="15" t="n">
        <x:f>D30/$D$14</x:f>
        <x:v>1.2643807964103464</x:v>
      </x:c>
      <x:c r="F30" s="13" t="n">
        <x:f>$D$14-D30</x:f>
        <x:v>-2643807.964103464</x:v>
      </x:c>
      <x:c r="G30" s="15" t="n">
        <x:f>D30/($C$42*1000000)</x:f>
        <x:v>0.05599531623542592</x:v>
      </x:c>
      <x:c r="H30" s="14" t="n">
        <x:f>G30*B30</x:f>
        <x:v>279.9765811771296</x:v>
      </x:c>
      <x:c r="I30" s="14" t="n">
        <x:f>F30/($C$42*1000000)*B30</x:f>
        <x:v>-58.54283117712956</x:v>
      </x:c>
      <x:c r="J30" s="16" t="n">
        <x:f>H30/C30</x:f>
        <x:v>1.609060811362814</x:v>
      </x:c>
      <x:c r="K30" s="3" t="str">
        <x:f>IF(E30&lt;=1,"В ПРЕДЕЛАХ","СТОП")</x:f>
        <x:v>СТОП</x:v>
      </x:c>
      <x:c r="L30" s="3" t="s">
        <x:v>48</x:v>
      </x:c>
    </x:row>
    <x:row r="31" ht="21.75" customHeight="1">
      <x:c r="A31" s="17" t="s">
        <x:v>49</x:v>
      </x:c>
      <x:c r="B31" s="18" t="n">
        <x:f>$B$17</x:f>
        <x:v>15000</x:v>
      </x:c>
      <x:c r="C31" s="18" t="n">
        <x:f>$H$26</x:f>
        <x:v>174</x:v>
      </x:c>
      <x:c r="D31" s="19" t="n">
        <x:f>$H$22*1000000/J$22+$H$23*1000000/J$23+$H$24*1000000/J$24+$H$25*1000000/J$25</x:f>
        <x:v>11013604.437585508</x:v>
      </x:c>
      <x:c r="E31" s="20" t="n">
        <x:f>D31/$D$14</x:f>
        <x:v>1.101360443758551</x:v>
      </x:c>
      <x:c r="F31" s="19" t="n">
        <x:f>$D$14-D31</x:f>
        <x:v>-1013604.4375855085</x:v>
      </x:c>
      <x:c r="G31" s="20" t="n">
        <x:f>D31/($C$42*1000000)</x:f>
        <x:v>0.048775674632624014</x:v>
      </x:c>
      <x:c r="H31" s="18" t="n">
        <x:f>G31*B31</x:f>
        <x:v>731.6351194893602</x:v>
      </x:c>
      <x:c r="I31" s="18" t="n">
        <x:f>F31/($C$42*1000000)*B31</x:f>
        <x:v>-67.33386948936004</x:v>
      </x:c>
      <x:c r="J31" s="21" t="n">
        <x:f>H31/C31</x:f>
        <x:v>4.204799537295174</x:v>
      </x:c>
      <x:c r="K31" s="17" t="str">
        <x:f>IF(E31&lt;=1,"В ПРЕДЕЛАХ","СТОП")</x:f>
        <x:v>СТОП</x:v>
      </x:c>
      <x:c r="L31" s="17" t="s">
        <x:v>50</x:v>
      </x:c>
    </x:row>
    <x:row r="32" ht="21.75" customHeight="1">
      <x:c r="A32" s="3" t="s">
        <x:v>51</x:v>
      </x:c>
      <x:c r="B32" s="14" t="n">
        <x:f>$B$18</x:f>
        <x:v>25000</x:v>
      </x:c>
      <x:c r="C32" s="14" t="n">
        <x:f>$H$26</x:f>
        <x:v>174</x:v>
      </x:c>
      <x:c r="D32" s="13" t="n">
        <x:f>$H$22*1000000/K$22+$H$23*1000000/K$23+$H$24*1000000/K$24+$H$25*1000000/K$25</x:f>
        <x:v>10493115.191402214</x:v>
      </x:c>
      <x:c r="E32" s="15" t="n">
        <x:f>D32/$D$14</x:f>
        <x:v>1.0493115191402214</x:v>
      </x:c>
      <x:c r="F32" s="13" t="n">
        <x:f>$D$14-D32</x:f>
        <x:v>-493115.19140221365</x:v>
      </x:c>
      <x:c r="G32" s="15" t="n">
        <x:f>D32/($C$42*1000000)</x:f>
        <x:v>0.04647059692028321</x:v>
      </x:c>
      <x:c r="H32" s="14" t="n">
        <x:f>G32*B32</x:f>
        <x:v>1161.7649230070801</x:v>
      </x:c>
      <x:c r="I32" s="14" t="n">
        <x:f>F32/($C$42*1000000)*B32</x:f>
        <x:v>-54.596173007079976</x:v>
      </x:c>
      <x:c r="J32" s="16" t="n">
        <x:f>H32/C32</x:f>
        <x:v>6.676809902339541</x:v>
      </x:c>
      <x:c r="K32" s="3" t="str">
        <x:f>IF(E32&lt;=1,"В ПРЕДЕЛАХ","СТОП")</x:f>
        <x:v>СТОП</x:v>
      </x:c>
      <x:c r="L32" s="3" t="s">
        <x:v>52</x:v>
      </x:c>
    </x:row>
    <x:row r="34" ht="31.5" customHeight="1">
      <x:c r="A34" s="27" t="str">
        <x:v>Читать так: «Использовано пула» — доля от фиксированных 10 млн единиц. Стоимость — потенциальная валовая стоимость всех зарезервированных/выданных единиц, включая unvested, в году 5; фактическая выплата зависит от вестинга и waterfall.</x:v>
      </x:c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</x:row>
    <x:row r="35" ht="21.75" customHeight="1">
      <x:c r="A35" s="28" t="s">
        <x:v>53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</x:row>
    <x:row r="36" ht="36" customHeight="1">
      <x:c r="A36" s="2" t="s">
        <x:v>54</x:v>
      </x:c>
      <x:c r="B36" s="2" t="s">
        <x:v>55</x:v>
      </x:c>
      <x:c r="C36" s="2" t="s">
        <x:v>56</x:v>
      </x:c>
      <x:c r="D36" s="2" t="s">
        <x:v>57</x:v>
      </x:c>
      <x:c r="E36" s="2" t="s">
        <x:v>58</x:v>
      </x:c>
      <x:c r="F36" s="2" t="s">
        <x:v>59</x:v>
      </x:c>
      <x:c r="G36" s="2" t="s">
        <x:v>58</x:v>
      </x:c>
      <x:c r="H36" s="2" t="s">
        <x:v>60</x:v>
      </x:c>
      <x:c r="I36" s="2" t="s">
        <x:v>58</x:v>
      </x:c>
      <x:c r="J36" s="2" t="s">
        <x:v>38</x:v>
      </x:c>
      <x:c r="K36" s="2" t="s">
        <x:v>39</x:v>
      </x:c>
      <x:c r="L36" s="2" t="s">
        <x:v>40</x:v>
      </x:c>
    </x:row>
    <x:row r="37" ht="21.75" customHeight="1">
      <x:c r="A37" s="22">
        <x:v>0</x:v>
      </x:c>
      <x:c r="B37" s="44">
        <x:v>0</x:v>
      </x:c>
      <x:c r="C37" s="23" t="n">
        <x:f>$D$13/1000000</x:f>
        <x:v>133.33333333333331</x:v>
      </x:c>
      <x:c r="D37" s="23" t="n">
        <x:f>$B$10</x:f>
        <x:v>1600</x:v>
      </x:c>
      <x:c r="E37" s="24"/>
      <x:c r="F37" s="23" t="n">
        <x:f>$B$10</x:f>
        <x:v>1600</x:v>
      </x:c>
      <x:c r="G37" s="24"/>
      <x:c r="H37" s="23" t="n">
        <x:f>$B$10</x:f>
        <x:v>1600</x:v>
      </x:c>
      <x:c r="I37" s="24"/>
      <x:c r="J37" s="25" t="n">
        <x:f t="shared" ref="J37:J42" si="0">D37/C37</x:f>
        <x:v>12.000000000000002</x:v>
      </x:c>
      <x:c r="K37" s="25" t="n">
        <x:f t="shared" ref="K37:K42" si="1">F37/C37</x:f>
        <x:v>12.000000000000002</x:v>
      </x:c>
      <x:c r="L37" s="25" t="n">
        <x:f t="shared" ref="L37:L42" si="2">H37/C37</x:f>
        <x:v>12.000000000000002</x:v>
      </x:c>
    </x:row>
    <x:row r="38" ht="21.75" customHeight="1">
      <x:c r="A38" s="13">
        <x:v>1</x:v>
      </x:c>
      <x:c r="B38" s="44">
        <x:v>5</x:v>
      </x:c>
      <x:c r="C38" s="14" t="n">
        <x:f>C37/(1-$B$14)</x:f>
        <x:v>148.14814814814812</x:v>
      </x:c>
      <x:c r="D38" s="14" t="n">
        <x:f>$B$10*($B$16/$B$10)^(SUM($B$38:B38)/SUM($B$38:$B$42))</x:f>
        <x:v>2339.214190570293</x:v>
      </x:c>
      <x:c r="E38" s="26" t="n">
        <x:f>D38/D37-1</x:f>
        <x:v>0.462008869106433</x:v>
      </x:c>
      <x:c r="F38" s="14" t="n">
        <x:f>$B$10*($B$17/$B$10)^(SUM($B$38:B38)/SUM($B$38:$B$42))</x:f>
        <x:v>3373.730661206997</x:v>
      </x:c>
      <x:c r="G38" s="26" t="n">
        <x:f>F38/F37-1</x:f>
        <x:v>1.1085816632543732</x:v>
      </x:c>
      <x:c r="H38" s="14" t="n">
        <x:f>$B$10*($B$18/$B$10)^(SUM($B$38:B38)/SUM($B$38:$B$42))</x:f>
        <x:v>4000</x:v>
      </x:c>
      <x:c r="I38" s="26" t="n">
        <x:f>H38/H37-1</x:f>
        <x:v>1.5</x:v>
      </x:c>
      <x:c r="J38" s="16">
        <x:f t="shared" si="0"/>
        <x:v>15.78969578634948</x:v>
      </x:c>
      <x:c r="K38" s="16">
        <x:f t="shared" si="1"/>
        <x:v>22.772681963147232</x:v>
      </x:c>
      <x:c r="L38" s="16">
        <x:f t="shared" si="2"/>
        <x:v>27.000000000000004</x:v>
      </x:c>
    </x:row>
    <x:row r="39" ht="21.75" customHeight="1">
      <x:c r="A39" s="22">
        <x:v>2</x:v>
      </x:c>
      <x:c r="B39" s="44">
        <x:v>4</x:v>
      </x:c>
      <x:c r="C39" s="23" t="n">
        <x:f>C38/(1-$B$14)</x:f>
        <x:v>164.60905349794237</x:v>
      </x:c>
      <x:c r="D39" s="23" t="n">
        <x:f>$B$10*($B$16/$B$10)^(SUM($B$38:B39)/SUM($B$38:$B$42))</x:f>
        <x:v>3169.7863849222267</x:v>
      </x:c>
      <x:c r="E39" s="24" t="n">
        <x:f>D39/D38-1</x:f>
        <x:v>0.3550646185800723</x:v>
      </x:c>
      <x:c r="F39" s="23" t="n">
        <x:f>$B$10*($B$17/$B$10)^(SUM($B$38:B39)/SUM($B$38:$B$42))</x:f>
        <x:v>6127.77412560081</x:v>
      </x:c>
      <x:c r="G39" s="24" t="n">
        <x:f>F39/F38-1</x:f>
        <x:v>0.8163198965647476</x:v>
      </x:c>
      <x:c r="H39" s="23" t="n">
        <x:f>$B$10*($B$18/$B$10)^(SUM($B$38:B39)/SUM($B$38:$B$42))</x:f>
        <x:v>8325.53207401873</x:v>
      </x:c>
      <x:c r="I39" s="24" t="n">
        <x:f>H39/H38-1</x:f>
        <x:v>1.0813830185046829</x:v>
      </x:c>
      <x:c r="J39" s="25">
        <x:f t="shared" si="0"/>
        <x:v>19.256452288402528</x:v>
      </x:c>
      <x:c r="K39" s="25">
        <x:f t="shared" si="1"/>
        <x:v>37.22622781302492</x:v>
      </x:c>
      <x:c r="L39" s="25">
        <x:f t="shared" si="2"/>
        <x:v>50.577607349663793</x:v>
      </x:c>
    </x:row>
    <x:row r="40" ht="21.75" customHeight="1">
      <x:c r="A40" s="13">
        <x:v>3</x:v>
      </x:c>
      <x:c r="B40" s="44">
        <x:v>3</x:v>
      </x:c>
      <x:c r="C40" s="14" t="n">
        <x:f>C39/(1-$B$14)</x:f>
        <x:v>182.89894833104708</x:v>
      </x:c>
      <x:c r="D40" s="14" t="n">
        <x:f>$B$10*($B$16/$B$10)^(SUM($B$38:B40)/SUM($B$38:$B$42))</x:f>
        <x:v>3981.071705534973</x:v>
      </x:c>
      <x:c r="E40" s="26" t="n">
        <x:f>D40/D39-1</x:f>
        <x:v>0.2559432157547903</x:v>
      </x:c>
      <x:c r="F40" s="14" t="n">
        <x:f>$B$10*($B$17/$B$10)^(SUM($B$38:B40)/SUM($B$38:$B$42))</x:f>
        <x:v>9587.315155141827</x:v>
      </x:c>
      <x:c r="G40" s="26" t="n">
        <x:f>F40/F39-1</x:f>
        <x:v>0.5645673222659491</x:v>
      </x:c>
      <x:c r="H40" s="14" t="n">
        <x:f>$B$10*($B$18/$B$10)^(SUM($B$38:B40)/SUM($B$38:$B$42))</x:f>
        <x:v>14426.999059072135</x:v>
      </x:c>
      <x:c r="I40" s="26" t="n">
        <x:f>H40/H39-1</x:f>
        <x:v>0.7328621078878661</x:v>
      </x:c>
      <x:c r="J40" s="16">
        <x:f t="shared" si="0"/>
        <x:v>21.766509550012465</x:v>
      </x:c>
      <x:c r="K40" s="16">
        <x:f t="shared" si="1"/>
        <x:v>52.41864561073794</x:v>
      </x:c>
      <x:c r="L40" s="16">
        <x:f t="shared" si="2"/>
        <x:v>78.879617355476924</x:v>
      </x:c>
    </x:row>
    <x:row r="41" ht="21.75" customHeight="1">
      <x:c r="A41" s="22">
        <x:v>4</x:v>
      </x:c>
      <x:c r="B41" s="44">
        <x:v>2</x:v>
      </x:c>
      <x:c r="C41" s="23" t="n">
        <x:f>C40/(1-$B$14)</x:f>
        <x:v>203.2210537011634</x:v>
      </x:c>
      <x:c r="D41" s="23" t="n">
        <x:f>$B$10*($B$16/$B$10)^(SUM($B$38:B41)/SUM($B$38:$B$42))</x:f>
        <x:v>4634.255807929114</x:v>
      </x:c>
      <x:c r="E41" s="24" t="n">
        <x:f>D41/D40-1</x:f>
        <x:v>0.16407242840816072</x:v>
      </x:c>
      <x:c r="F41" s="23" t="n">
        <x:f>$B$10*($B$17/$B$10)^(SUM($B$38:B41)/SUM($B$38:$B$42))</x:f>
        <x:v>12920.91215780647</x:v>
      </x:c>
      <x:c r="G41" s="24" t="n">
        <x:f>F41/F40-1</x:f>
        <x:v>0.3477091290648542</x:v>
      </x:c>
      <x:c r="H41" s="23" t="n">
        <x:f>$B$10*($B$18/$B$10)^(SUM($B$38:B41)/SUM($B$38:$B$42))</x:f>
        <x:v>20813.830185046827</x:v>
      </x:c>
      <x:c r="I41" s="24" t="n">
        <x:f>H41/H40-1</x:f>
        <x:v>0.4426999059072134</x:v>
      </x:c>
      <x:c r="J41" s="25">
        <x:f t="shared" si="0"/>
        <x:v>22.804014266867192</x:v>
      </x:c>
      <x:c r="K41" s="25">
        <x:f t="shared" si="1"/>
        <x:v>63.580578500526194</x:v>
      </x:c>
      <x:c r="L41" s="25">
        <x:f t="shared" si="2"/>
        <x:v>102.41965488306923</x:v>
      </x:c>
    </x:row>
    <x:row r="42" ht="21.75" customHeight="1">
      <x:c r="A42" s="13">
        <x:v>5</x:v>
      </x:c>
      <x:c r="B42" s="44">
        <x:v>1</x:v>
      </x:c>
      <x:c r="C42" s="14" t="n">
        <x:f>C41/(1-$B$14)</x:f>
        <x:v>225.80117077907045</x:v>
      </x:c>
      <x:c r="D42" s="14" t="n">
        <x:f>$B$10*($B$16/$B$10)^(SUM($B$38:B42)/SUM($B$38:$B$42))</x:f>
        <x:v>5000</x:v>
      </x:c>
      <x:c r="E42" s="26" t="n">
        <x:f>D42/D41-1</x:f>
        <x:v>0.0789218824401332</x:v>
      </x:c>
      <x:c r="F42" s="14" t="n">
        <x:f>$B$10*($B$17/$B$10)^(SUM($B$38:B42)/SUM($B$38:$B$42))</x:f>
        <x:v>15000</x:v>
      </x:c>
      <x:c r="G42" s="26" t="n">
        <x:f>F42/F41-1</x:f>
        <x:v>0.16090875139472272</x:v>
      </x:c>
      <x:c r="H42" s="14" t="n">
        <x:f>$B$10*($B$18/$B$10)^(SUM($B$38:B42)/SUM($B$38:$B$42))</x:f>
        <x:v>25000</x:v>
      </x:c>
      <x:c r="I42" s="26" t="n">
        <x:f>H42/H41-1</x:f>
        <x:v>0.20112443398143132</x:v>
      </x:c>
      <x:c r="J42" s="16">
        <x:f t="shared" si="0"/>
        <x:v>22.143375000000002</x:v>
      </x:c>
      <x:c r="K42" s="16">
        <x:f t="shared" si="1"/>
        <x:v>66.430125000000018</x:v>
      </x:c>
      <x:c r="L42" s="16">
        <x:f t="shared" si="2"/>
        <x:v>110.71687500000002</x:v>
      </x:c>
    </x:row>
    <x:row r="44" ht="21.75" customHeight="1">
      <x:c r="A44" s="28" t="s">
        <x:v>61</x:v>
      </x:c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</x:row>
    <x:row r="45" ht="24.75" customHeight="1">
      <x:c r="A45" s="29" t="str">
        <x:v>1. Меняйте голубые ячейки: зарплаты, лестницу 0,25–1,00, состав когорт, долю нового выпуска, конечные common-equity оценки и веса роста. B13 и B15 закреплены на 10% и 100% для Board-approved capacity-check.</x:v>
      </x:c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</x:row>
    <x:row r="46" ht="24.75" customHeight="1">
      <x:c r="A46" s="30" t="s">
        <x:v>62</x:v>
      </x:c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</x:row>
    <x:row r="47" ht="24.75" customHeight="1">
      <x:c r="A47" s="31" t="s">
        <x:v>63</x:v>
      </x:c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</x:row>
    <x:row r="48" ht="24.75" customHeight="1">
      <x:c r="A48" s="32" t="str">
        <x:v>4. Эта вкладка предполагает один входной грант на человека, отсутствие уходов и возвратов. Для выборочных ежегодных решений Совета, повторных грантов и возврата units смотрите лист «Ежегодные циклы».</x:v>
      </x:c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50" ht="31.5" customHeight="1">
      <x:c r="A50" s="27" t="str">
        <x:v>Управленческая capacity-модель. Вводите common-equity value, а не raw Enterprise Value: EV нужно скорректировать на cash, net debt, расходы, налоги и preference waterfall. Не моделирует индивидуальный вестинг и налоги.</x:v>
      </x:c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</x:row>
  </x:sheetData>
  <x:mergeCells>
    <x:mergeCell ref="A1:L1"/>
    <x:mergeCell ref="A2:L2"/>
    <x:mergeCell ref="A4:C4"/>
    <x:mergeCell ref="D4:F4"/>
    <x:mergeCell ref="G4:I4"/>
    <x:mergeCell ref="J4:L4"/>
    <x:mergeCell ref="A5:C6"/>
    <x:mergeCell ref="D5:F6"/>
    <x:mergeCell ref="G5:I6"/>
    <x:mergeCell ref="J5:L6"/>
    <x:mergeCell ref="A8:L8"/>
    <x:mergeCell ref="F15:L18"/>
    <x:mergeCell ref="A20:L20"/>
    <x:mergeCell ref="A28:L28"/>
    <x:mergeCell ref="A34:L34"/>
    <x:mergeCell ref="A35:L35"/>
    <x:mergeCell ref="A50:L50"/>
    <x:mergeCell ref="A44:L44"/>
    <x:mergeCell ref="A45:L45"/>
    <x:mergeCell ref="A46:L46"/>
    <x:mergeCell ref="A47:L47"/>
    <x:mergeCell ref="A48:L48"/>
  </x:mergeCells>
  <x:conditionalFormatting sqref="K30:K32">
    <x:cfRule type="containsText" dxfId="0" priority="1" operator="containsText" text="В ПРЕДЕЛАХ"/>
    <x:cfRule type="containsText" dxfId="1" priority="2" operator="containsText" text="СТОП"/>
  </x:conditionalFormatting>
  <x:dataValidations count="7">
    <x:dataValidation type="decimal" errorTitle="Пакет вне диапазона" error="Введите значение от 0,50 до 1,50." sqref="I10:I12">
      <x:formula1>0.5</x:formula1>
      <x:formula2>1.5</x:formula2>
    </x:dataValidation>
    <x:dataValidation type="decimal" error="Введите результат от 0% до 100%." sqref="B15">
      <x:formula1>0</x:formula1>
      <x:formula2>1</x:formula2>
    </x:dataValidation>
    <x:dataValidation type="whole" error="Введите целое число от 0 до 20." sqref="C22:E25">
      <x:formula1>0</x:formula1>
      <x:formula2>20</x:formula2>
    </x:dataValidation>
    <x:dataValidation type="whole" error="Введите номер раунда от 0 до 5." sqref="B22:B25">
      <x:formula1>0</x:formula1>
      <x:formula2>5</x:formula2>
    </x:dataValidation>
    <x:dataValidation type="decimal" operator="greaterThan" error="Вес роста должен быть больше нуля." sqref="B38:B42">
      <x:formula1>0</x:formula1>
      <x:formula2>0</x:formula2>
    </x:dataValidation>
    <x:dataValidation type="decimal" showInputMessage="1" showErrorMessage="1" errorTitle="Некорректная доля пула" error="Введите долю пула от 0,1% до 50%." promptTitle="Доля пула" prompt="Значение должно быть больше нуля." sqref="B13">
      <x:formula1>0.001</x:formula1>
      <x:formula2>0.5</x:formula2>
    </x:dataValidation>
    <x:dataValidation type="decimal" showInputMessage="1" showErrorMessage="1" errorTitle="Некорректное размытие" error="Введите размытие от 0% до 50%." promptTitle="Размытие раунда" prompt="Значение 100% недопустимо, так как приводит к делению на ноль." sqref="B14">
      <x:formula1>0</x:formula1>
      <x:formula2>0.5</x:formula2>
    </x:dataValidation>
  </x:dataValidations>
  <x:pageMargins left="0.7" right="0.7" top="0.75" bottom="0.75" header="0.3" footer="0.3"/>
  <x:legacyDrawing xmlns:r="http://schemas.openxmlformats.org/officeDocument/2006/relationships" r:id="R0a1018d3ab7d473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9" hidden="0" customWidth="1"/>
    <x:col min="5" max="5" width="36" hidden="0" customWidth="1"/>
    <x:col min="6" max="6" width="19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56" t="str">
        <x:v>Один пакет LTI: цена на старте, результат после года, вестинг затем</x:v>
      </x:c>
      <x:c r="B1" s="56"/>
      <x:c r="C1" s="56"/>
      <x:c r="D1" s="56"/>
      <x:c r="E1" s="56"/>
      <x:c r="F1" s="56"/>
      <x:c r="G1" s="56"/>
      <x:c r="H1" s="56"/>
    </x:row>
    <x:row r="2" ht="15" hidden="0" customHeight="1">
      <x:c r="A2" s="59" t="str">
        <x:v>Пример — не обещание выплаты. Синие ячейки можно менять; расчёт показывает валовую стоимость до налогов и юридических ограничений.</x:v>
      </x:c>
      <x:c r="B2" s="59"/>
      <x:c r="C2" s="59"/>
      <x:c r="D2" s="59"/>
      <x:c r="E2" s="59"/>
      <x:c r="F2" s="59"/>
      <x:c r="G2" s="59"/>
      <x:c r="H2" s="59"/>
    </x:row>
    <x:row r="3"/>
    <x:row r="4" ht="15" hidden="0" customHeight="1">
      <x:c r="A4" s="62" t="str">
        <x:v>Ввод</x:v>
      </x:c>
      <x:c r="B4" s="62" t="str">
        <x:v>Значение</x:v>
      </x:c>
      <x:c r="D4" s="62" t="str">
        <x:v>Расчёт</x:v>
      </x:c>
      <x:c r="E4" s="62" t="str">
        <x:v>Формула</x:v>
      </x:c>
      <x:c r="F4" s="62" t="str">
        <x:v>Результат</x:v>
      </x:c>
    </x:row>
    <x:row r="5" ht="15" hidden="0" customHeight="1">
      <x:c r="A5" s="76" t="str">
        <x:v>Годовой фиксированный оклад, ₽</x:v>
      </x:c>
      <x:c r="B5" s="77" t="n">
        <x:v>5000000</x:v>
      </x:c>
      <x:c r="D5" s="76" t="str">
        <x:v>Итоговый коэффициент</x:v>
      </x:c>
      <x:c r="E5" s="76" t="str">
        <x:v>min(100%; 60% company + 40% personal)</x:v>
      </x:c>
      <x:c r="F5" s="80" t="n">
        <x:f>MAX(0,MIN(1,0.6*B7+0.4*B8))</x:f>
        <x:v>1</x:v>
      </x:c>
    </x:row>
    <x:row r="6" ht="15" hidden="0" customHeight="1">
      <x:c r="A6" s="76" t="str">
        <x:v>Целевой коэффициент, окладов</x:v>
      </x:c>
      <x:c r="B6" s="78" t="n">
        <x:v>1</x:v>
      </x:c>
      <x:c r="D6" s="76" t="str">
        <x:v>Подтвержденная сумма</x:v>
      </x:c>
      <x:c r="E6" s="76" t="str">
        <x:v>оклад × target × коэффициент</x:v>
      </x:c>
      <x:c r="F6" s="81" t="n">
        <x:f>B5*B6*F5</x:f>
        <x:v>5000000</x:v>
      </x:c>
    </x:row>
    <x:row r="7" ht="15" hidden="0" customHeight="1">
      <x:c r="A7" s="76" t="str">
        <x:v>Результат компании</x:v>
      </x:c>
      <x:c r="B7" s="79" t="n">
        <x:v>1</x:v>
      </x:c>
      <x:c r="D7" s="76" t="str">
        <x:v>Начальная цена единицы</x:v>
      </x:c>
      <x:c r="E7" s="76" t="str">
        <x:v>equity value ÷ FD units</x:v>
      </x:c>
      <x:c r="F7" s="81" t="n">
        <x:f>B9/B10</x:f>
        <x:v>12</x:v>
      </x:c>
    </x:row>
    <x:row r="8" ht="15" hidden="0" customHeight="1">
      <x:c r="A8" s="76" t="str">
        <x:v>Личный результат</x:v>
      </x:c>
      <x:c r="B8" s="79" t="n">
        <x:v>1</x:v>
      </x:c>
      <x:c r="D8" s="76" t="str">
        <x:v>Максимально резервируется</x:v>
      </x:c>
      <x:c r="E8" s="76" t="str">
        <x:v>оклад × target ÷ начальная цена</x:v>
      </x:c>
      <x:c r="F8" s="82" t="n">
        <x:f>B5*B6/F7</x:f>
        <x:v>416666.6666666667</x:v>
      </x:c>
    </x:row>
    <x:row r="9" ht="15" hidden="0" customHeight="1">
      <x:c r="A9" s="76" t="str">
        <x:v>Стоимость капитала на начало года, ₽</x:v>
      </x:c>
      <x:c r="B9" s="95" t="n">
        <x:v>1200000000</x:v>
      </x:c>
      <x:c r="D9" s="76" t="str">
        <x:v>Выдано после года</x:v>
      </x:c>
      <x:c r="E9" s="76" t="str">
        <x:v>max units × коэффициент</x:v>
      </x:c>
      <x:c r="F9" s="82" t="n">
        <x:f>F8*F5</x:f>
        <x:v>416666.6666666667</x:v>
      </x:c>
    </x:row>
    <x:row r="10" ht="15" hidden="0" customHeight="1">
      <x:c r="A10" s="76" t="str">
        <x:v>FD-единиц на начало года</x:v>
      </x:c>
      <x:c r="B10" s="96" t="n">
        <x:v>100000000</x:v>
      </x:c>
      <x:c r="D10" s="76" t="str">
        <x:v>Доля на начало</x:v>
      </x:c>
      <x:c r="E10" s="76" t="str">
        <x:v>выдано ÷ FD units</x:v>
      </x:c>
      <x:c r="F10" s="83" t="n">
        <x:f>F9/B10</x:f>
        <x:v>0.004166666666666667</x:v>
      </x:c>
    </x:row>
    <x:row r="11" ht="15" hidden="0" customHeight="1">
      <x:c r="A11" s="76" t="str">
        <x:v>EBITDA на выходе, ₽</x:v>
      </x:c>
      <x:c r="B11" s="95" t="n">
        <x:v>2000000000</x:v>
      </x:c>
      <x:c r="D11" s="76" t="str">
        <x:v>Enterprise Value выхода</x:v>
      </x:c>
      <x:c r="E11" s="76" t="str">
        <x:v>EBITDA × exit multiple</x:v>
      </x:c>
      <x:c r="F11" s="84" t="n">
        <x:f>B11*B12</x:f>
        <x:v>16000000000</x:v>
      </x:c>
    </x:row>
    <x:row r="12" ht="15" hidden="0" customHeight="1">
      <x:c r="A12" s="76" t="str">
        <x:v>Мультипликатор выхода, ×</x:v>
      </x:c>
      <x:c r="B12" s="97" t="n">
        <x:v>8</x:v>
      </x:c>
      <x:c r="D12" s="76" t="str">
        <x:v>Common-equity value выхода</x:v>
      </x:c>
      <x:c r="E12" s="76" t="str">
        <x:v>EV + cash − debt − costs/preferences</x:v>
      </x:c>
      <x:c r="F12" s="84" t="n">
        <x:f>F11+B13-B14-B15</x:f>
        <x:v>16000000000</x:v>
      </x:c>
    </x:row>
    <x:row r="13" ht="15" hidden="0" customHeight="1">
      <x:c r="A13" s="76" t="str">
        <x:v>Денежные средства, ₽</x:v>
      </x:c>
      <x:c r="B13" s="95" t="n">
        <x:v>0</x:v>
      </x:c>
      <x:c r="D13" s="76" t="str">
        <x:v>Доля после размытия</x:v>
      </x:c>
      <x:c r="E13" s="76" t="str">
        <x:v>начальная доля × (1 − dilution)</x:v>
      </x:c>
      <x:c r="F13" s="83" t="n">
        <x:f>F10*(1-B16)</x:f>
        <x:v>0.004166666666666667</x:v>
      </x:c>
    </x:row>
    <x:row r="14" ht="15" hidden="0" customHeight="1">
      <x:c r="A14" s="76" t="str">
        <x:v>Чистый долг, ₽</x:v>
      </x:c>
      <x:c r="B14" s="95" t="n">
        <x:v>0</x:v>
      </x:c>
      <x:c r="D14" s="76" t="str">
        <x:v>Перешедшая доля</x:v>
      </x:c>
      <x:c r="E14" s="76" t="str">
        <x:v>размытая доля × vested</x:v>
      </x:c>
      <x:c r="F14" s="83" t="n">
        <x:f>F13*B17</x:f>
        <x:v>0.004166666666666667</x:v>
      </x:c>
    </x:row>
    <x:row r="15" ht="16.799999237060547" hidden="0" customHeight="1">
      <x:c r="A15" s="76" t="str">
        <x:v>Расходы, налоги и senior claims, ₽</x:v>
      </x:c>
      <x:c r="B15" s="95" t="n">
        <x:v>0</x:v>
      </x:c>
      <x:c r="D15" s="76" t="str">
        <x:v>Валовая стоимость пакета</x:v>
      </x:c>
      <x:c r="E15" s="76" t="str">
        <x:v>vested fraction × common equity</x:v>
      </x:c>
      <x:c r="F15" s="85" t="n">
        <x:f>F14*F12</x:f>
        <x:v>66666666.666666664</x:v>
      </x:c>
    </x:row>
    <x:row r="16" ht="16.799999237060547" hidden="0" customHeight="1">
      <x:c r="A16" s="76" t="str">
        <x:v>Совокупное будущее размытие</x:v>
      </x:c>
      <x:c r="B16" s="79" t="n">
        <x:v>0</x:v>
      </x:c>
      <x:c r="D16" s="76" t="str">
        <x:v>Если размытие 20%</x:v>
      </x:c>
      <x:c r="E16" s="76" t="str">
        <x:v>gross value при dilution = 20%</x:v>
      </x:c>
      <x:c r="F16" s="85" t="n">
        <x:f>F10*(1-20%)*B17*F12</x:f>
        <x:v>53333333.333333336</x:v>
      </x:c>
    </x:row>
    <x:row r="17" ht="15" hidden="0" customHeight="1">
      <x:c r="A17" s="76" t="str">
        <x:v>Перешедшая часть (vested)</x:v>
      </x:c>
      <x:c r="B17" s="79" t="n">
        <x:v>1</x:v>
      </x:c>
    </x:row>
    <x:row r="18" ht="15" hidden="0" customHeight="1">
      <x:c r="A18" s="76" t="str">
        <x:v>Валюта расчёта</x:v>
      </x:c>
      <x:c r="B18" s="65" t="str">
        <x:v>RUB</x:v>
      </x:c>
      <x:c r="E18" s="72" t="str">
        <x:v>Дефолт: 5 млн ₽ → 0,4167% → 66,7 млн ₽. При 20% размытия: 53,3 млн ₽.</x:v>
      </x:c>
      <x:c r="F18" s="72"/>
      <x:c r="G18" s="72"/>
      <x:c r="H18" s="72"/>
    </x:row>
    <x:row r="19"/>
    <x:row r="20" ht="15" hidden="0" customHeight="1">
      <x:c r="A20" s="106" t="str">
        <x:v>Дата</x:v>
      </x:c>
      <x:c r="B20" s="106" t="str">
        <x:v>Что фиксируется</x:v>
      </x:c>
      <x:c r="C20" s="106"/>
      <x:c r="D20" s="106" t="str">
        <x:v>Статус</x:v>
      </x:c>
      <x:c r="E20" s="75" t="str">
        <x:v>Раунд внутри 2027 года не меняет F7/F8/F9. Он учитывается только через обычное размытие B16.</x:v>
      </x:c>
      <x:c r="F20" s="75"/>
      <x:c r="G20" s="75"/>
      <x:c r="H20" s="75"/>
    </x:row>
    <x:row r="21" ht="15" hidden="0" customHeight="1">
      <x:c r="A21" s="101" t="str">
        <x:v>01.01.2027</x:v>
      </x:c>
      <x:c r="B21" s="101" t="str">
        <x:v>Участник, target, KPI, FD snapshot и начальная цена</x:v>
      </x:c>
      <x:c r="C21" s="101"/>
      <x:c r="D21" s="101" t="str">
        <x:v>Условная возможность</x:v>
      </x:c>
    </x:row>
    <x:row r="22" ht="15" hidden="0" customHeight="1">
      <x:c r="A22" s="101" t="str">
        <x:v>31.12.2027</x:v>
      </x:c>
      <x:c r="B22" s="101" t="str">
        <x:v>Заканчивается performance year</x:v>
      </x:c>
      <x:c r="C22" s="101"/>
      <x:c r="D22" s="101" t="str">
        <x:v>Единиц ещё не vested</x:v>
      </x:c>
    </x:row>
    <x:row r="23" ht="15" hidden="0" customHeight="1">
      <x:c r="A23" s="101" t="str">
        <x:v>01.01.2028</x:v>
      </x:c>
      <x:c r="B23" s="101" t="str">
        <x:v>Совет подтверждает результат и число единиц</x:v>
      </x:c>
      <x:c r="C23" s="101"/>
      <x:c r="D23" s="101" t="str">
        <x:v>Старт вестинга</x:v>
      </x:c>
    </x:row>
    <x:row r="24" ht="15" hidden="0" customHeight="1">
      <x:c r="A24" s="101" t="str">
        <x:v>01.04.2028</x:v>
      </x:c>
      <x:c r="B24" s="101" t="str">
        <x:v>Первая квартальная годовщина</x:v>
      </x:c>
      <x:c r="C24" s="101"/>
      <x:c r="D24" s="101" t="str">
        <x:v>Переходит 1/12</x:v>
      </x:c>
    </x:row>
    <x:row r="25" ht="15" hidden="0" customHeight="1">
      <x:c r="A25" s="101" t="str">
        <x:v>01.01.2031</x:v>
      </x:c>
      <x:c r="B25" s="101" t="str">
        <x:v>36 месяцев после старта вестинга</x:v>
      </x:c>
      <x:c r="C25" s="101"/>
      <x:c r="D25" s="101" t="str">
        <x:v>Переходит 12/12</x:v>
      </x:c>
    </x:row>
    <x:row r="26"/>
    <x:row r="27" ht="15" hidden="0" customHeight="1">
      <x:c r="E27" t="str">
        <x:v>Контрольные проверки</x:v>
      </x:c>
    </x:row>
    <x:row r="28" ht="15" hidden="0" customHeight="1">
      <x:c r="E28" s="62" t="str">
        <x:v>Проверка</x:v>
      </x:c>
      <x:c r="F28" s="62" t="str">
        <x:v>Ожидается</x:v>
      </x:c>
      <x:c r="G28" s="62" t="str">
        <x:v>Факт</x:v>
      </x:c>
      <x:c r="H28" s="62"/>
    </x:row>
    <x:row r="29" ht="15" hidden="0" customHeight="1">
      <x:c r="E29" t="str">
        <x:v>Дефолтная валовая стоимость</x:v>
      </x:c>
      <x:c r="F29" s="87" t="n">
        <x:v>66666666.66666667</x:v>
      </x:c>
      <x:c r="G29" s="87" t="n">
        <x:f>F15</x:f>
        <x:v>66666666.666666664</x:v>
      </x:c>
      <x:c r="H29" t="str">
        <x:f>IF(ABS(G29-F29)&lt;1,"OK","ПРОВЕРИТЬ")</x:f>
        <x:v>OK</x:v>
      </x:c>
    </x:row>
    <x:row r="30" ht="15" hidden="0" customHeight="1">
      <x:c r="E30" t="str">
        <x:v>Стоимость при 20% размытия</x:v>
      </x:c>
      <x:c r="F30" s="87" t="n">
        <x:v>53333333.333333336</x:v>
      </x:c>
      <x:c r="G30" s="87" t="n">
        <x:f>F16</x:f>
        <x:v>53333333.333333336</x:v>
      </x:c>
      <x:c r="H30" t="str">
        <x:f>IF(ABS(G30-F30)&lt;1,"OK","ПРОВЕРИТЬ")</x:f>
        <x:v>OK</x:v>
      </x:c>
    </x:row>
    <x:row r="31" ht="15" hidden="0" customHeight="1">
      <x:c r="E31" t="str">
        <x:v>Доля на начало</x:v>
      </x:c>
      <x:c r="F31" s="88" t="n">
        <x:v>0.004166666666666667</x:v>
      </x:c>
      <x:c r="G31" s="88" t="n">
        <x:f>F10</x:f>
        <x:v>0.004166666666666667</x:v>
      </x:c>
      <x:c r="H31" t="str">
        <x:f>IF(ABS(G31-F31)&lt;0.0000001,"OK","ПРОВЕРИТЬ")</x:f>
        <x:v>OK</x:v>
      </x:c>
    </x:row>
    <x:row r="32" ht="15" hidden="0" customHeight="1">
      <x:c r="E32" t="str">
        <x:v>Пул, использованный одним пакетом</x:v>
      </x:c>
      <x:c r="F32" s="88" t="n">
        <x:v>0.04166666666666667</x:v>
      </x:c>
      <x:c r="G32" s="88" t="n">
        <x:f>F9/10000000</x:f>
        <x:v>0.04166666666666667</x:v>
      </x:c>
      <x:c r="H32" t="str">
        <x:f>IF(ABS(G32-F32)&lt;0.0000001,"OK","ПРОВЕРИТЬ")</x:f>
        <x:v>OK</x:v>
      </x:c>
    </x:row>
  </x:sheetData>
  <x:mergeCells>
    <x:mergeCell ref="A1:H1"/>
    <x:mergeCell ref="A2:H2"/>
    <x:mergeCell ref="E18:H18"/>
    <x:mergeCell ref="E20:H20"/>
    <x:mergeCell ref="E27:H27"/>
    <x:mergeCell ref="B20:C20"/>
    <x:mergeCell ref="B21:C21"/>
    <x:mergeCell ref="B22:C22"/>
    <x:mergeCell ref="B23:C23"/>
    <x:mergeCell ref="B24:C24"/>
    <x:mergeCell ref="B25:C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  <x:col min="3" max="3" width="5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1.600000381469727" hidden="0" customHeight="1">
      <x:c r="A1" s="56" t="str">
        <x:v>LTI — правила, которым соответствует калькулятор</x:v>
      </x:c>
      <x:c r="B1" s="56"/>
      <x:c r="C1" s="56"/>
      <x:c r="D1" s="56"/>
      <x:c r="E1" s="56"/>
      <x:c r="F1" s="56"/>
      <x:c r="G1" s="56"/>
      <x:c r="H1" s="56"/>
    </x:row>
    <x:row r="2" ht="15" hidden="0" customHeight="1">
      <x:c r="A2" s="59" t="str">
        <x:v>Единый канон для DOCX, capacity-модели и примеров</x:v>
      </x:c>
      <x:c r="B2" s="59"/>
      <x:c r="C2" s="59"/>
      <x:c r="D2" s="59"/>
      <x:c r="E2" s="59"/>
      <x:c r="F2" s="59"/>
      <x:c r="G2" s="59"/>
      <x:c r="H2" s="59"/>
    </x:row>
    <x:row r="3"/>
    <x:row r="4" ht="15" hidden="0" customHeight="1">
      <x:c r="A4" s="62" t="str">
        <x:v>Правило</x:v>
      </x:c>
      <x:c r="B4" s="62" t="str">
        <x:v>Как считается</x:v>
      </x:c>
      <x:c r="C4" s="62" t="str">
        <x:v>Что важно</x:v>
      </x:c>
    </x:row>
    <x:row r="5" ht="26.399999618530273" hidden="0" customHeight="1">
      <x:c r="A5" s="76" t="str">
        <x:v>Начало года</x:v>
      </x:c>
      <x:c r="B5" s="76" t="str">
        <x:v>Board: eligibility, target 0,25–1,00, KPI, opening reference price</x:v>
      </x:c>
      <x:c r="C5" s="76" t="str">
        <x:v>Резервируются maximum target units</x:v>
      </x:c>
    </x:row>
    <x:row r="6" ht="15" hidden="0" customHeight="1">
      <x:c r="A6" s="76" t="str">
        <x:v>Формула результата</x:v>
      </x:c>
      <x:c r="B6" s="76" t="str">
        <x:v>min(100%; 60% company + 40% personal)</x:v>
      </x:c>
      <x:c r="C6" s="76" t="str">
        <x:v>Отрицательный результат ограничен нулём</x:v>
      </x:c>
    </x:row>
    <x:row r="7" ht="15" hidden="0" customHeight="1">
      <x:c r="A7" s="76" t="str">
        <x:v>Единицы</x:v>
      </x:c>
      <x:c r="B7" s="76" t="str">
        <x:v>earned amount ÷ opening reference price</x:v>
      </x:c>
      <x:c r="C7" s="76" t="str">
        <x:v>Внутригодовой раунд не делает repricing</x:v>
      </x:c>
    </x:row>
    <x:row r="8" ht="15" hidden="0" customHeight="1">
      <x:c r="A8" s="76" t="str">
        <x:v>Вестинг</x:v>
      </x:c>
      <x:c r="B8" s="76" t="str">
        <x:v>1/12 через 3, 6, …, 36 месяцев после подтверждения</x:v>
      </x:c>
      <x:c r="C8" s="76" t="str">
        <x:v>До подтверждения vested = 0</x:v>
      </x:c>
    </x:row>
    <x:row r="9" ht="15" hidden="0" customHeight="1">
      <x:c r="A9" s="76" t="str">
        <x:v>10%</x:v>
      </x:c>
      <x:c r="B9" s="76" t="str">
        <x:v>10 млн из 100 млн FD до указанного раунда</x:v>
      </x:c>
      <x:c r="C9" s="76" t="str">
        <x:v>Один cap; после раунда становится 7,5%, auto top-up нет</x:v>
      </x:c>
    </x:row>
    <x:row r="10" ht="15" hidden="0" customHeight="1">
      <x:c r="A10" s="76" t="str">
        <x:v>Каждый год заново</x:v>
      </x:c>
      <x:c r="B10" s="76" t="str">
        <x:v>Новое поименное решение</x:v>
      </x:c>
      <x:c r="C10" s="76" t="str">
        <x:v>Нет вечного права и автоматического refresh</x:v>
      </x:c>
    </x:row>
    <x:row r="11" ht="15" hidden="0" customHeight="1">
      <x:c r="A11" s="76" t="str">
        <x:v>Future dilution</x:v>
      </x:c>
      <x:c r="B11" s="76" t="str">
        <x:v>Применяется как к common holders</x:v>
      </x:c>
      <x:c r="C11" s="76" t="str">
        <x:v>Количество units не меняется; процент уменьшается</x:v>
      </x:c>
    </x:row>
    <x:row r="12" ht="15" hidden="0" customHeight="1">
      <x:c r="A12" s="76" t="str">
        <x:v>Выход</x:v>
      </x:c>
      <x:c r="B12" s="76" t="str">
        <x:v>Common equity = EV + cash − debt − costs − senior claims</x:v>
      </x:c>
      <x:c r="C12" s="76" t="str">
        <x:v>8× EBITDA — это EV, не автоматически equity</x:v>
      </x:c>
    </x:row>
    <x:row r="13" ht="15" hidden="0" customHeight="1">
      <x:c r="A13" s="76" t="str">
        <x:v>Юридический статус</x:v>
      </x:c>
      <x:c r="B13" s="76" t="str">
        <x:v>Утверждённый план + индивидуальное уведомление</x:v>
      </x:c>
      <x:c r="C13" s="76" t="str">
        <x:v>Этот файл — управленческая модель, суммы gross</x:v>
      </x:c>
    </x:row>
    <x:row r="14" ht="24" customHeight="1">
      <x:c r="A14" s="162" t="str">
        <x:v>Плановая структура общего пула — 5% / 4% / 1%</x:v>
      </x:c>
      <x:c r="B14" s="162"/>
      <x:c r="C14" s="162"/>
    </x:row>
    <x:row r="15" ht="42" customHeight="1">
      <x:c r="A15" s="166" t="str">
        <x:v>Роль диапазона</x:v>
      </x:c>
      <x:c r="B15" s="166" t="str">
        <x:v>5% текущая команда · 4% будущие сильные наймы · 1% резерв Совета</x:v>
      </x:c>
      <x:c r="C15" s="166" t="str">
        <x:v>Это не три новых квоты: один hard cap 10%, перераспределение — только внутри него</x:v>
      </x:c>
    </x:row>
    <x:row r="16" ht="15" hidden="0" customHeight="1">
      <x:c r="A16" s="62" t="str">
        <x:v>Сверка</x:v>
      </x:c>
      <x:c r="B16" s="62" t="str">
        <x:v>Было</x:v>
      </x:c>
      <x:c r="C16" s="62" t="str">
        <x:v>Стало</x:v>
      </x:c>
    </x:row>
    <x:row r="17" ht="15" hidden="0" customHeight="1">
      <x:c r="A17" s="76" t="str">
        <x:v>База пула</x:v>
      </x:c>
      <x:c r="B17" s="76" t="str">
        <x:v>10% post-money = 13,333 млн units</x:v>
      </x:c>
      <x:c r="C17" s="76" t="str">
        <x:v>10% FD до раунда = 10,000 млн units</x:v>
      </x:c>
    </x:row>
    <x:row r="18" ht="15" hidden="0" customHeight="1">
      <x:c r="A18" s="76" t="str">
        <x:v>Core package</x:v>
      </x:c>
      <x:c r="B18" s="76" t="str">
        <x:v>До 1,50 зарплаты</x:v>
      </x:c>
      <x:c r="C18" s="76" t="str">
        <x:v>Максимум 1,00 зарплаты</x:v>
      </x:c>
    </x:row>
    <x:row r="19" ht="15" hidden="0" customHeight="1">
      <x:c r="A19" s="76" t="str">
        <x:v>Когорты</x:v>
      </x:c>
      <x:c r="B19" s="76" t="str">
        <x:v>Фактически 10/6/3/1</x:v>
      </x:c>
      <x:c r="C19" s="76" t="str">
        <x:v>10/5/3/2</x:v>
      </x:c>
    </x:row>
    <x:row r="20" ht="15" hidden="0" customHeight="1">
      <x:c r="A20" s="76" t="str">
        <x:v>Цена</x:v>
      </x:c>
      <x:c r="B20" s="76" t="str">
        <x:v>Неясно: на выдачу/раунд входа</x:v>
      </x:c>
      <x:c r="C20" s="76" t="str">
        <x:v>Opening reference price каждого performance year</x:v>
      </x:c>
    </x:row>
    <x:row r="21" ht="15" hidden="0" customHeight="1">
      <x:c r="A21" s="76" t="str">
        <x:v>EV и equity</x:v>
      </x:c>
      <x:c r="B21" s="76" t="str">
        <x:v>Конечная оценка без bridge</x:v>
      </x:c>
      <x:c r="C21" s="76" t="str">
        <x:v>Отдельный EV→common-equity bridge</x:v>
      </x:c>
    </x:row>
    <x:row r="22" ht="15" hidden="0" customHeight="1">
      <x:c r="A22" s="76" t="str">
        <x:v>Ограничение capacity</x:v>
      </x:c>
      <x:c r="B22" s="76" t="str">
        <x:v>Все сценарии «в пределах»</x:v>
      </x:c>
      <x:c r="C22" s="76" t="str">
        <x:v>При fixed 10 млн все текущие сценарии «СТОП»</x:v>
      </x:c>
    </x:row>
    <x:row r="23"/>
    <x:row r="24"/>
    <x:row r="25" ht="26.399999618530273" hidden="0" customHeight="1">
      <x:c r="A25" s="75" t="str">
        <x:v>Лист «Ежегодные циклы» моделирует повторные выборочные решения Совета: максимальный резерв по opening price, подтверждение результата после года, освобождение незаработанных units и возвраты при уходах.</x:v>
      </x:c>
      <x:c r="B25" s="75"/>
      <x:c r="C25" s="75"/>
      <x:c r="D25" s="75"/>
      <x:c r="E25" s="75"/>
      <x:c r="F25" s="75"/>
    </x:row>
  </x:sheetData>
  <x:mergeCells>
    <x:mergeCell ref="A1:F1"/>
    <x:mergeCell ref="A2:F2"/>
    <x:mergeCell ref="A25:F25"/>
    <x:mergeCell ref="A14:C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0" hidden="0" customWidth="1"/>
    <x:col min="3" max="3" width="20" hidden="0" customWidth="1"/>
    <x:col min="4" max="4" width="22" hidden="0" customWidth="1"/>
    <x:col min="5" max="5" width="24" hidden="0" customWidth="1"/>
    <x:col min="6" max="6" width="20" hidden="0" customWidth="1"/>
    <x:col min="7" max="7" width="20" hidden="0" customWidth="1"/>
    <x:col min="8" max="8" width="21" hidden="0" customWidth="1"/>
    <x:col min="9" max="9" width="22" hidden="0" customWidth="1"/>
    <x:col min="10" max="10" width="21" hidden="0" customWidth="1"/>
  </x:cols>
  <x:sheetData>
    <x:row r="1" ht="21.600000381469727" hidden="0" customHeight="1">
      <x:c r="A1" s="109" t="str">
        <x:v>Ежегодные циклы LTI: выбор Совета, резерв 10% и освобождение units</x:v>
      </x:c>
      <x:c r="B1" s="109"/>
      <x:c r="C1" s="109"/>
      <x:c r="D1" s="109"/>
      <x:c r="E1" s="109"/>
      <x:c r="F1" s="109"/>
      <x:c r="G1" s="109"/>
      <x:c r="H1" s="109"/>
      <x:c r="I1" s="109"/>
      <x:c r="J1" s="109"/>
    </x:row>
    <x:row r="2" ht="15" hidden="0" customHeight="1">
      <x:c r="A2" s="112" t="str">
        <x:v>Это capacity-прогноз, а не автоматическое право. Каждый год Совет заново утверждает людей, target и KPI; opening price фиксируется в начале года, результат — после года, затем начинается вестинг.</x:v>
      </x:c>
      <x:c r="B2" s="112"/>
      <x:c r="C2" s="112"/>
      <x:c r="D2" s="112"/>
      <x:c r="E2" s="112"/>
      <x:c r="F2" s="112"/>
      <x:c r="G2" s="112"/>
      <x:c r="H2" s="112"/>
      <x:c r="I2" s="112"/>
      <x:c r="J2" s="112"/>
    </x:row>
    <x:row r="3"/>
    <x:row r="4" ht="15" hidden="0" customHeight="1">
      <x:c r="A4" s="122" t="str">
        <x:v>Пул LTI, units</x:v>
      </x:c>
      <x:c r="B4" s="144" t="n">
        <x:f>'Калькулятор'!D14</x:f>
        <x:v>10000000</x:v>
      </x:c>
      <x:c r="C4" s="145" t="str">
        <x:v>Занято до 1-го цикла</x:v>
      </x:c>
      <x:c r="D4" s="146" t="n">
        <x:v>0</x:v>
      </x:c>
      <x:c r="E4" s="122" t="str">
        <x:v>Занято после 5 лет</x:v>
      </x:c>
      <x:c r="F4" s="147" t="n">
        <x:f>G22</x:f>
        <x:v>8002259.11415563</x:v>
      </x:c>
      <x:c r="G4" s="122" t="str">
        <x:v>Пиковое использование</x:v>
      </x:c>
      <x:c r="H4" s="148" t="n">
        <x:f>MAX(H18:H22)</x:f>
        <x:v>0.800225911415563</x:v>
      </x:c>
      <x:c r="I4" s="122" t="str">
        <x:v>Статус модели</x:v>
      </x:c>
      <x:c r="J4" s="124" t="str">
        <x:f>J23</x:f>
        <x:v>OK</x:v>
      </x:c>
    </x:row>
    <x:row r="5" ht="15" hidden="0" customHeight="1">
      <x:c r="A5" s="130" t="str">
        <x:v>Введите в D4 фактически занятые units из реестра LTI. Ноль означает чистый пул и используется только в демонстрационном сценарии.</x:v>
      </x:c>
      <x:c r="B5" s="130"/>
      <x:c r="C5" s="130"/>
      <x:c r="D5" s="130"/>
      <x:c r="E5" s="130"/>
      <x:c r="F5" s="130"/>
      <x:c r="G5" s="130"/>
      <x:c r="H5" s="130"/>
      <x:c r="I5" s="130"/>
      <x:c r="J5" s="130"/>
    </x:row>
    <x:row r="6"/>
    <x:row r="7" ht="15" hidden="0" customHeight="1">
      <x:c r="A7" s="114" t="str">
        <x:v>1. Ежегодное решение Совета · голубые ячейки — сценарные вводы</x:v>
      </x:c>
      <x:c r="B7" s="114"/>
      <x:c r="C7" s="114"/>
      <x:c r="D7" s="114"/>
      <x:c r="E7" s="114"/>
      <x:c r="F7" s="114"/>
      <x:c r="G7" s="114"/>
      <x:c r="H7" s="114"/>
      <x:c r="I7" s="114"/>
    </x:row>
    <x:row r="8" ht="26.399999618530273" hidden="0" customHeight="1">
      <x:c r="A8" s="118" t="str">
        <x:v>Год цикла</x:v>
      </x:c>
      <x:c r="B8" s="118" t="str">
        <x:v>Активных в команде</x:v>
      </x:c>
      <x:c r="C8" s="118" t="str">
        <x:v>Выбрано Советом</x:v>
      </x:c>
      <x:c r="D8" s="118" t="str">
        <x:v>Σ максимальных target, млн ₽</x:v>
      </x:c>
      <x:c r="E8" s="118" t="str">
        <x:v>Средний target на выбранного, млн ₽</x:v>
      </x:c>
      <x:c r="F8" s="118" t="str">
        <x:v>Результат компании</x:v>
      </x:c>
      <x:c r="G8" s="118" t="str">
        <x:v>Target-взвешенный личный результат</x:v>
      </x:c>
      <x:c r="H8" s="118" t="str">
        <x:v>Итоговый результат</x:v>
      </x:c>
      <x:c r="I8" s="118" t="str">
        <x:v>Цена на начало года, ₽</x:v>
      </x:c>
    </x:row>
    <x:row r="9" ht="15" hidden="0" customHeight="1">
      <x:c r="A9" t="n">
        <x:v>1</x:v>
      </x:c>
      <x:c r="B9" s="134" t="n">
        <x:f>'Калькулятор'!G22</x:f>
        <x:v>10</x:v>
      </x:c>
      <x:c r="C9" s="132" t="n">
        <x:v>10</x:v>
      </x:c>
      <x:c r="D9" s="149" t="n">
        <x:v>50</x:v>
      </x:c>
      <x:c r="E9" s="151" t="n">
        <x:f>IF(C9=0,0,D9/C9)</x:f>
        <x:v>5</x:v>
      </x:c>
      <x:c r="F9" s="152" t="n">
        <x:v>1</x:v>
      </x:c>
      <x:c r="G9" s="152" t="n">
        <x:v>1</x:v>
      </x:c>
      <x:c r="H9" s="153" t="n">
        <x:f>MAX(0,MIN(1,0.6*F9+0.4*G9))</x:f>
        <x:v>1</x:v>
      </x:c>
      <x:c r="I9" s="155" t="n">
        <x:f>D27</x:f>
        <x:v>12.000000000000002</x:v>
      </x:c>
    </x:row>
    <x:row r="10" ht="15" hidden="0" customHeight="1">
      <x:c r="A10" t="n">
        <x:v>2</x:v>
      </x:c>
      <x:c r="B10" s="134" t="n">
        <x:f>'Калькулятор'!G23</x:f>
        <x:v>15</x:v>
      </x:c>
      <x:c r="C10" s="132" t="n">
        <x:v>8</x:v>
      </x:c>
      <x:c r="D10" s="149" t="n">
        <x:v>44</x:v>
      </x:c>
      <x:c r="E10" s="151" t="n">
        <x:f>IF(C10=0,0,D10/C10)</x:f>
        <x:v>5.5</x:v>
      </x:c>
      <x:c r="F10" s="152" t="n">
        <x:v>1</x:v>
      </x:c>
      <x:c r="G10" s="152" t="n">
        <x:v>1</x:v>
      </x:c>
      <x:c r="H10" s="153" t="n">
        <x:f>MAX(0,MIN(1,0.6*F10+0.4*G10))</x:f>
        <x:v>1</x:v>
      </x:c>
      <x:c r="I10" s="155" t="n">
        <x:f>D28</x:f>
        <x:v>22.77268196314723</x:v>
      </x:c>
    </x:row>
    <x:row r="11" ht="15" hidden="0" customHeight="1">
      <x:c r="A11" t="n">
        <x:v>3</x:v>
      </x:c>
      <x:c r="B11" s="134" t="n">
        <x:f>'Калькулятор'!G24</x:f>
        <x:v>18</x:v>
      </x:c>
      <x:c r="C11" s="132" t="n">
        <x:v>6</x:v>
      </x:c>
      <x:c r="D11" s="149" t="n">
        <x:v>36</x:v>
      </x:c>
      <x:c r="E11" s="151" t="n">
        <x:f>IF(C11=0,0,D11/C11)</x:f>
        <x:v>6</x:v>
      </x:c>
      <x:c r="F11" s="152" t="n">
        <x:v>1</x:v>
      </x:c>
      <x:c r="G11" s="152" t="n">
        <x:v>1</x:v>
      </x:c>
      <x:c r="H11" s="153" t="n">
        <x:f>MAX(0,MIN(1,0.6*F11+0.4*G11))</x:f>
        <x:v>1</x:v>
      </x:c>
      <x:c r="I11" s="155" t="n">
        <x:f>D29</x:f>
        <x:v>37.22622781302493</x:v>
      </x:c>
    </x:row>
    <x:row r="12" ht="15" hidden="0" customHeight="1">
      <x:c r="A12" t="n">
        <x:v>4</x:v>
      </x:c>
      <x:c r="B12" s="134" t="n">
        <x:f>'Калькулятор'!G25</x:f>
        <x:v>20</x:v>
      </x:c>
      <x:c r="C12" s="132" t="n">
        <x:v>4</x:v>
      </x:c>
      <x:c r="D12" s="149" t="n">
        <x:v>26</x:v>
      </x:c>
      <x:c r="E12" s="151" t="n">
        <x:f>IF(C12=0,0,D12/C12)</x:f>
        <x:v>6.5</x:v>
      </x:c>
      <x:c r="F12" s="152" t="n">
        <x:v>1</x:v>
      </x:c>
      <x:c r="G12" s="152" t="n">
        <x:v>1</x:v>
      </x:c>
      <x:c r="H12" s="153" t="n">
        <x:f>MAX(0,MIN(1,0.6*F12+0.4*G12))</x:f>
        <x:v>1</x:v>
      </x:c>
      <x:c r="I12" s="155" t="n">
        <x:f>D30</x:f>
        <x:v>52.41864561073794</x:v>
      </x:c>
    </x:row>
    <x:row r="13" ht="15" hidden="0" customHeight="1">
      <x:c r="A13" t="n">
        <x:v>5</x:v>
      </x:c>
      <x:c r="B13" s="134" t="n">
        <x:f>'Калькулятор'!G25</x:f>
        <x:v>20</x:v>
      </x:c>
      <x:c r="C13" s="132" t="n">
        <x:v>4</x:v>
      </x:c>
      <x:c r="D13" s="149" t="n">
        <x:v>28</x:v>
      </x:c>
      <x:c r="E13" s="151" t="n">
        <x:f>IF(C13=0,0,D13/C13)</x:f>
        <x:v>7</x:v>
      </x:c>
      <x:c r="F13" s="152" t="n">
        <x:v>1</x:v>
      </x:c>
      <x:c r="G13" s="152" t="n">
        <x:v>1</x:v>
      </x:c>
      <x:c r="H13" s="153" t="n">
        <x:f>MAX(0,MIN(1,0.6*F13+0.4*G13))</x:f>
        <x:v>1</x:v>
      </x:c>
      <x:c r="I13" s="155" t="n">
        <x:f>D31</x:f>
        <x:v>63.580578500526194</x:v>
      </x:c>
    </x:row>
    <x:row r="14" ht="15" hidden="0" customHeight="1">
      <x:c r="A14" s="137" t="str">
        <x:v>ИТОГО / СРЕДНЕЕ</x:v>
      </x:c>
      <x:c r="B14" s="137" t="n">
        <x:f>MAX(B9:B13)</x:f>
        <x:v>20</x:v>
      </x:c>
      <x:c r="C14" s="137" t="n">
        <x:f>SUM(C9:C13)</x:f>
        <x:v>32</x:v>
      </x:c>
      <x:c r="D14" s="150" t="n">
        <x:f>SUM(D9:D13)</x:f>
        <x:v>184</x:v>
      </x:c>
      <x:c r="E14" s="150" t="n">
        <x:f>IF(C14=0,0,D14/C14)</x:f>
        <x:v>5.75</x:v>
      </x:c>
      <x:c r="F14" s="154" t="n">
        <x:f>AVERAGE(F9:F13)</x:f>
        <x:v>1</x:v>
      </x:c>
      <x:c r="G14" s="154" t="n">
        <x:f>AVERAGE(G9:G13)</x:f>
        <x:v>1</x:v>
      </x:c>
      <x:c r="H14" s="154" t="n">
        <x:f>AVERAGE(H9:H13)</x:f>
        <x:v>1</x:v>
      </x:c>
      <x:c r="I14" s="137"/>
    </x:row>
    <x:row r="15"/>
    <x:row r="16" ht="15" hidden="0" customHeight="1">
      <x:c r="A16" s="114" t="str">
        <x:v>2. Capacity пула · на старте года резервируется максимум, после года незаработанное освобождается</x:v>
      </x:c>
      <x:c r="B16" s="114"/>
      <x:c r="C16" s="114"/>
      <x:c r="D16" s="114"/>
      <x:c r="E16" s="114"/>
      <x:c r="F16" s="114"/>
      <x:c r="G16" s="114"/>
      <x:c r="H16" s="114"/>
      <x:c r="I16" s="114"/>
      <x:c r="J16" s="114"/>
    </x:row>
    <x:row r="17" ht="15" hidden="0" customHeight="1">
      <x:c r="A17" s="118" t="str">
        <x:v>Год цикла</x:v>
      </x:c>
      <x:c r="B17" s="118" t="str">
        <x:v>Макс. резерв, units</x:v>
      </x:c>
      <x:c r="C17" s="118" t="str">
        <x:v>Занято при резерве</x:v>
      </x:c>
      <x:c r="D17" s="118" t="str">
        <x:v>Подтверждено, units</x:v>
      </x:c>
      <x:c r="E17" s="118" t="str">
        <x:v>Освобождено по результату</x:v>
      </x:c>
      <x:c r="F17" s="118" t="str">
        <x:v>Иные возвраты / leavers</x:v>
      </x:c>
      <x:c r="G17" s="118" t="str">
        <x:v>Занято после года</x:v>
      </x:c>
      <x:c r="H17" s="118" t="str">
        <x:v>Пик использования пула</x:v>
      </x:c>
      <x:c r="I17" s="118" t="str">
        <x:v>Свободно после года</x:v>
      </x:c>
      <x:c r="J17" s="118" t="str">
        <x:v>Статус</x:v>
      </x:c>
    </x:row>
    <x:row r="18" ht="15" hidden="0" customHeight="1">
      <x:c r="A18" t="n">
        <x:f>A9</x:f>
        <x:v>1</x:v>
      </x:c>
      <x:c r="B18" s="156" t="n">
        <x:f>D9*1000000/I9</x:f>
        <x:v>4166666.666666666</x:v>
      </x:c>
      <x:c r="C18" s="156" t="n">
        <x:f>$D$4+B18</x:f>
        <x:v>4166666.666666666</x:v>
      </x:c>
      <x:c r="D18" s="156" t="n">
        <x:f>B18*H9</x:f>
        <x:v>4166666.666666666</x:v>
      </x:c>
      <x:c r="E18" s="156" t="n">
        <x:f>B18-D18</x:f>
        <x:v>0</x:v>
      </x:c>
      <x:c r="F18" s="157" t="n">
        <x:v>0</x:v>
      </x:c>
      <x:c r="G18" s="156" t="n">
        <x:f>MAX(0,$D$4+D18-F18)</x:f>
        <x:v>4166666.666666666</x:v>
      </x:c>
      <x:c r="H18" s="153" t="n">
        <x:f>C18/$B$4</x:f>
        <x:v>0.41666666666666663</x:v>
      </x:c>
      <x:c r="I18" s="156" t="n">
        <x:f>$B$4-G18</x:f>
        <x:v>5833333.333333334</x:v>
      </x:c>
      <x:c r="J18" s="135" t="str">
        <x:f>IF(C9&gt;B9,"СТОП: ЛЮДЕЙ",IF(F18&gt;$D$4+D18,"СТОП: ВОЗВРАТ",IF(C18&gt;$B$4,"СТОП: ПУЛ","В ПРЕДЕЛАХ")))</x:f>
        <x:v>В ПРЕДЕЛАХ</x:v>
      </x:c>
    </x:row>
    <x:row r="19" ht="15" hidden="0" customHeight="1">
      <x:c r="A19" t="n">
        <x:f>A10</x:f>
        <x:v>2</x:v>
      </x:c>
      <x:c r="B19" s="156" t="n">
        <x:f>D10*1000000/I10</x:f>
        <x:v>1932139.5728094166</x:v>
      </x:c>
      <x:c r="C19" s="156" t="n">
        <x:f>G18+B19</x:f>
        <x:v>6098806.239476083</x:v>
      </x:c>
      <x:c r="D19" s="156" t="n">
        <x:f>B19*H10</x:f>
        <x:v>1932139.5728094166</x:v>
      </x:c>
      <x:c r="E19" s="156" t="n">
        <x:f>B19-D19</x:f>
        <x:v>0</x:v>
      </x:c>
      <x:c r="F19" s="157" t="n">
        <x:v>0</x:v>
      </x:c>
      <x:c r="G19" s="156" t="n">
        <x:f>MAX(0,G18+D19-F19)</x:f>
        <x:v>6098806.239476083</x:v>
      </x:c>
      <x:c r="H19" s="153" t="n">
        <x:f>C19/$B$4</x:f>
        <x:v>0.6098806239476083</x:v>
      </x:c>
      <x:c r="I19" s="156" t="n">
        <x:f>$B$4-G19</x:f>
        <x:v>3901193.760523917</x:v>
      </x:c>
      <x:c r="J19" s="135" t="str">
        <x:f>IF(C10&gt;B10,"СТОП: ЛЮДЕЙ",IF(F19&gt;G18+D19,"СТОП: ВОЗВРАТ",IF(C19&gt;$B$4,"СТОП: ПУЛ","В ПРЕДЕЛАХ")))</x:f>
        <x:v>В ПРЕДЕЛАХ</x:v>
      </x:c>
    </x:row>
    <x:row r="20" ht="15" hidden="0" customHeight="1">
      <x:c r="A20" t="n">
        <x:f>A11</x:f>
        <x:v>3</x:v>
      </x:c>
      <x:c r="B20" s="156" t="n">
        <x:f>D11*1000000/I11</x:f>
        <x:v>967060.1109738041</x:v>
      </x:c>
      <x:c r="C20" s="156" t="n">
        <x:f>G19+B20</x:f>
        <x:v>7065866.350449887</x:v>
      </x:c>
      <x:c r="D20" s="156" t="n">
        <x:f>B20*H11</x:f>
        <x:v>967060.1109738041</x:v>
      </x:c>
      <x:c r="E20" s="156" t="n">
        <x:f>B20-D20</x:f>
        <x:v>0</x:v>
      </x:c>
      <x:c r="F20" s="157" t="n">
        <x:v>0</x:v>
      </x:c>
      <x:c r="G20" s="156" t="n">
        <x:f>MAX(0,G19+D20-F20)</x:f>
        <x:v>7065866.350449887</x:v>
      </x:c>
      <x:c r="H20" s="153" t="n">
        <x:f>C20/$B$4</x:f>
        <x:v>0.7065866350449888</x:v>
      </x:c>
      <x:c r="I20" s="156" t="n">
        <x:f>$B$4-G20</x:f>
        <x:v>2934133.649550113</x:v>
      </x:c>
      <x:c r="J20" s="135" t="str">
        <x:f>IF(C11&gt;B11,"СТОП: ЛЮДЕЙ",IF(F20&gt;G19+D20,"СТОП: ВОЗВРАТ",IF(C20&gt;$B$4,"СТОП: ПУЛ","В ПРЕДЕЛАХ")))</x:f>
        <x:v>В ПРЕДЕЛАХ</x:v>
      </x:c>
    </x:row>
    <x:row r="21" ht="15" hidden="0" customHeight="1">
      <x:c r="A21" t="n">
        <x:f>A12</x:f>
        <x:v>4</x:v>
      </x:c>
      <x:c r="B21" s="156" t="n">
        <x:f>D12*1000000/I12</x:f>
        <x:v>496006.7109149785</x:v>
      </x:c>
      <x:c r="C21" s="156" t="n">
        <x:f>G20+B21</x:f>
        <x:v>7561873.061364866</x:v>
      </x:c>
      <x:c r="D21" s="156" t="n">
        <x:f>B21*H12</x:f>
        <x:v>496006.7109149785</x:v>
      </x:c>
      <x:c r="E21" s="156" t="n">
        <x:f>B21-D21</x:f>
        <x:v>0</x:v>
      </x:c>
      <x:c r="F21" s="157" t="n">
        <x:v>0</x:v>
      </x:c>
      <x:c r="G21" s="156" t="n">
        <x:f>MAX(0,G20+D21-F21)</x:f>
        <x:v>7561873.061364866</x:v>
      </x:c>
      <x:c r="H21" s="153" t="n">
        <x:f>C21/$B$4</x:f>
        <x:v>0.7561873061364865</x:v>
      </x:c>
      <x:c r="I21" s="156" t="n">
        <x:f>$B$4-G21</x:f>
        <x:v>2438126.938635134</x:v>
      </x:c>
      <x:c r="J21" s="135" t="str">
        <x:f>IF(C12&gt;B12,"СТОП: ЛЮДЕЙ",IF(F21&gt;G20+D21,"СТОП: ВОЗВРАТ",IF(C21&gt;$B$4,"СТОП: ПУЛ","В ПРЕДЕЛАХ")))</x:f>
        <x:v>В ПРЕДЕЛАХ</x:v>
      </x:c>
    </x:row>
    <x:row r="22" ht="15" hidden="0" customHeight="1">
      <x:c r="A22" t="n">
        <x:f>A13</x:f>
        <x:v>5</x:v>
      </x:c>
      <x:c r="B22" s="156" t="n">
        <x:f>D13*1000000/I13</x:f>
        <x:v>440386.0527907633</x:v>
      </x:c>
      <x:c r="C22" s="156" t="n">
        <x:f>G21+B22</x:f>
        <x:v>8002259.11415563</x:v>
      </x:c>
      <x:c r="D22" s="156" t="n">
        <x:f>B22*H13</x:f>
        <x:v>440386.0527907633</x:v>
      </x:c>
      <x:c r="E22" s="156" t="n">
        <x:f>B22-D22</x:f>
        <x:v>0</x:v>
      </x:c>
      <x:c r="F22" s="157" t="n">
        <x:v>0</x:v>
      </x:c>
      <x:c r="G22" s="156" t="n">
        <x:f>MAX(0,G21+D22-F22)</x:f>
        <x:v>8002259.11415563</x:v>
      </x:c>
      <x:c r="H22" s="153" t="n">
        <x:f>C22/$B$4</x:f>
        <x:v>0.800225911415563</x:v>
      </x:c>
      <x:c r="I22" s="156" t="n">
        <x:f>$B$4-G22</x:f>
        <x:v>1997740.8858443704</x:v>
      </x:c>
      <x:c r="J22" s="135" t="str">
        <x:f>IF(C13&gt;B13,"СТОП: ЛЮДЕЙ",IF(F22&gt;G21+D22,"СТОП: ВОЗВРАТ",IF(C22&gt;$B$4,"СТОП: ПУЛ","В ПРЕДЕЛАХ")))</x:f>
        <x:v>В ПРЕДЕЛАХ</x:v>
      </x:c>
    </x:row>
    <x:row r="23" ht="15" hidden="0" customHeight="1">
      <x:c r="A23" s="137" t="str">
        <x:v>ИТОГО / ПИК</x:v>
      </x:c>
      <x:c r="B23" s="158" t="n">
        <x:f>SUM(B18:B22)</x:f>
        <x:v>8002259.11415563</x:v>
      </x:c>
      <x:c r="C23" s="158" t="n">
        <x:f>MAX(C18:C22)</x:f>
        <x:v>8002259.11415563</x:v>
      </x:c>
      <x:c r="D23" s="158" t="n">
        <x:f>SUM(D18:D22)</x:f>
        <x:v>8002259.11415563</x:v>
      </x:c>
      <x:c r="E23" s="158" t="n">
        <x:f>SUM(E18:E22)</x:f>
        <x:v>0</x:v>
      </x:c>
      <x:c r="F23" s="158" t="n">
        <x:f>SUM(F18:F22)</x:f>
        <x:v>0</x:v>
      </x:c>
      <x:c r="G23" s="158" t="n">
        <x:f>G22</x:f>
        <x:v>8002259.11415563</x:v>
      </x:c>
      <x:c r="H23" s="154" t="n">
        <x:f>MAX(H18:H22)</x:f>
        <x:v>0.800225911415563</x:v>
      </x:c>
      <x:c r="I23" s="158" t="n">
        <x:f>I22</x:f>
        <x:v>1997740.8858443704</x:v>
      </x:c>
      <x:c r="J23" s="137" t="str">
        <x:f>IF($D$4&gt;$B$4,"СТОП",IF(COUNTIF(J18:J22,"СТОП*")=0,"OK","СТОП"))</x:f>
        <x:v>OK</x:v>
      </x:c>
    </x:row>
    <x:row r="24"/>
    <x:row r="25" ht="15" hidden="0" customHeight="1">
      <x:c r="A25" s="114" t="str">
        <x:v>3. Источник opening price · базовый сценарий листа «Калькулятор»</x:v>
      </x:c>
      <x:c r="B25" s="114"/>
      <x:c r="C25" s="114"/>
      <x:c r="D25" s="114"/>
      <x:c r="E25" s="114"/>
    </x:row>
    <x:row r="26" ht="26.399999618530273" hidden="0" customHeight="1">
      <x:c r="A26" s="118" t="str">
        <x:v>Год цикла</x:v>
      </x:c>
      <x:c r="B26" s="118" t="str">
        <x:v>Common equity на старте, млн ₽</x:v>
      </x:c>
      <x:c r="C26" s="118" t="str">
        <x:v>FD units на старте, млн</x:v>
      </x:c>
      <x:c r="D26" s="118" t="str">
        <x:v>Opening price, ₽</x:v>
      </x:c>
      <x:c r="E26" s="118" t="str">
        <x:v>Источник</x:v>
      </x:c>
    </x:row>
    <x:row r="27" ht="15" hidden="0" customHeight="1">
      <x:c r="A27" t="n">
        <x:v>1</x:v>
      </x:c>
      <x:c r="B27" s="159" t="n">
        <x:f>'Калькулятор'!F37</x:f>
        <x:v>1600</x:v>
      </x:c>
      <x:c r="C27" s="159" t="n">
        <x:f>'Калькулятор'!C37</x:f>
        <x:v>133.33333333333331</x:v>
      </x:c>
      <x:c r="D27" s="155" t="n">
        <x:f>B27/C27</x:f>
        <x:v>12.000000000000002</x:v>
      </x:c>
      <x:c r="E27" t="str">
        <x:v>'Калькулятор'!F37 / C37</x:v>
      </x:c>
    </x:row>
    <x:row r="28" ht="15" hidden="0" customHeight="1">
      <x:c r="A28" t="n">
        <x:v>2</x:v>
      </x:c>
      <x:c r="B28" s="159" t="n">
        <x:f>'Калькулятор'!F38</x:f>
        <x:v>3373.730661206997</x:v>
      </x:c>
      <x:c r="C28" s="159" t="n">
        <x:f>'Калькулятор'!C38</x:f>
        <x:v>148.14814814814812</x:v>
      </x:c>
      <x:c r="D28" s="155" t="n">
        <x:f>B28/C28</x:f>
        <x:v>22.77268196314723</x:v>
      </x:c>
      <x:c r="E28" t="str">
        <x:v>'Калькулятор'!F38 / C38</x:v>
      </x:c>
    </x:row>
    <x:row r="29" ht="15" hidden="0" customHeight="1">
      <x:c r="A29" t="n">
        <x:v>3</x:v>
      </x:c>
      <x:c r="B29" s="159" t="n">
        <x:f>'Калькулятор'!F39</x:f>
        <x:v>6127.77412560081</x:v>
      </x:c>
      <x:c r="C29" s="159" t="n">
        <x:f>'Калькулятор'!C39</x:f>
        <x:v>164.60905349794237</x:v>
      </x:c>
      <x:c r="D29" s="155" t="n">
        <x:f>B29/C29</x:f>
        <x:v>37.22622781302493</x:v>
      </x:c>
      <x:c r="E29" t="str">
        <x:v>'Калькулятор'!F39 / C39</x:v>
      </x:c>
    </x:row>
    <x:row r="30" ht="15" hidden="0" customHeight="1">
      <x:c r="A30" t="n">
        <x:v>4</x:v>
      </x:c>
      <x:c r="B30" s="159" t="n">
        <x:f>'Калькулятор'!F40</x:f>
        <x:v>9587.315155141827</x:v>
      </x:c>
      <x:c r="C30" s="159" t="n">
        <x:f>'Калькулятор'!C40</x:f>
        <x:v>182.89894833104708</x:v>
      </x:c>
      <x:c r="D30" s="155" t="n">
        <x:f>B30/C30</x:f>
        <x:v>52.41864561073794</x:v>
      </x:c>
      <x:c r="E30" t="str">
        <x:v>'Калькулятор'!F40 / C40</x:v>
      </x:c>
    </x:row>
    <x:row r="31" ht="15" hidden="0" customHeight="1">
      <x:c r="A31" t="n">
        <x:v>5</x:v>
      </x:c>
      <x:c r="B31" s="159" t="n">
        <x:f>'Калькулятор'!F41</x:f>
        <x:v>12920.91215780647</x:v>
      </x:c>
      <x:c r="C31" s="159" t="n">
        <x:f>'Калькулятор'!C41</x:f>
        <x:v>203.2210537011634</x:v>
      </x:c>
      <x:c r="D31" s="155" t="n">
        <x:f>B31/C31</x:f>
        <x:v>63.580578500526194</x:v>
      </x:c>
      <x:c r="E31" t="str">
        <x:v>'Калькулятор'!F41 / C41</x:v>
      </x:c>
    </x:row>
    <x:row r="32"/>
    <x:row r="33" ht="15" hidden="0" customHeight="1">
      <x:c r="A33" s="139" t="str">
        <x:v>Легенда: синий шрифт на голубом фоне — ввод; зелёный — ссылка на другой лист; чёрный — формула. Σ target должна совпадать с поимённым реестром (фикс × target 0,25–1,00 для каждого человека); один человек может быть выбран в нескольких годах.</x:v>
      </x:c>
      <x:c r="B33" s="139"/>
      <x:c r="C33" s="139"/>
      <x:c r="D33" s="139"/>
      <x:c r="E33" s="139"/>
      <x:c r="F33" s="139"/>
      <x:c r="G33" s="139"/>
      <x:c r="H33" s="139"/>
      <x:c r="I33" s="139"/>
      <x:c r="J33" s="139"/>
    </x:row>
    <x:row r="34"/>
    <x:row r="35" ht="15" hidden="0" customHeight="1">
      <x:c r="A35" s="114" t="str">
        <x:v>4. Контрольные проверки</x:v>
      </x:c>
      <x:c r="B35" s="114"/>
      <x:c r="C35" s="114"/>
      <x:c r="D35" s="114"/>
      <x:c r="E35" s="114"/>
    </x:row>
    <x:row r="36" ht="15" hidden="0" customHeight="1">
      <x:c r="A36" s="118" t="str">
        <x:v>Проверка</x:v>
      </x:c>
      <x:c r="B36" s="118" t="str">
        <x:v>Факт</x:v>
      </x:c>
      <x:c r="C36" s="118" t="str">
        <x:v>Ожидание / лимит</x:v>
      </x:c>
      <x:c r="D36" s="118" t="str">
        <x:v>Отклонение</x:v>
      </x:c>
      <x:c r="E36" s="118" t="str">
        <x:v>Статус</x:v>
      </x:c>
    </x:row>
    <x:row r="37" ht="15" hidden="0" customHeight="1">
      <x:c r="A37" s="140" t="str">
        <x:v>Пул совпадает с fixed 10%</x:v>
      </x:c>
      <x:c r="B37" s="156" t="n">
        <x:f>$B$4</x:f>
        <x:v>10000000</x:v>
      </x:c>
      <x:c r="C37" s="159" t="n">
        <x:f>'Калькулятор'!D14</x:f>
        <x:v>10000000</x:v>
      </x:c>
      <x:c r="D37" s="156" t="n">
        <x:f>B37-C37</x:f>
        <x:v>0</x:v>
      </x:c>
      <x:c r="E37" s="135" t="str">
        <x:f>IF(ABS(D37)&lt;1,"OK","ПРОВЕРИТЬ")</x:f>
        <x:v>OK</x:v>
      </x:c>
    </x:row>
    <x:row r="38" ht="26.399999618530273" hidden="0" customHeight="1">
      <x:c r="A38" s="140" t="str">
        <x:v>Пиковый резерв не превышает пул</x:v>
      </x:c>
      <x:c r="B38" s="153" t="n">
        <x:f>$H$4</x:f>
        <x:v>0.800225911415563</x:v>
      </x:c>
      <x:c r="C38" s="153" t="n">
        <x:v>1</x:v>
      </x:c>
      <x:c r="D38" s="153" t="n">
        <x:f>B38-C38</x:f>
        <x:v>-0.19977408858443702</x:v>
      </x:c>
      <x:c r="E38" s="135" t="str">
        <x:f>IF(D38&lt;=0,"OK","СТОП")</x:f>
        <x:v>OK</x:v>
      </x:c>
    </x:row>
    <x:row r="39" ht="26.399999618530273" hidden="0" customHeight="1">
      <x:c r="A39" s="140" t="str">
        <x:v>Конечная занятость не превышает пул</x:v>
      </x:c>
      <x:c r="B39" s="156" t="n">
        <x:f>$F$4</x:f>
        <x:v>8002259.11415563</x:v>
      </x:c>
      <x:c r="C39" s="156" t="n">
        <x:f>$B$4</x:f>
        <x:v>10000000</x:v>
      </x:c>
      <x:c r="D39" s="156" t="n">
        <x:f>B39-C39</x:f>
        <x:v>-1997740.8858443704</x:v>
      </x:c>
      <x:c r="E39" s="135" t="str">
        <x:f>IF(D39&lt;=0,"OK","СТОП")</x:f>
        <x:v>OK</x:v>
      </x:c>
    </x:row>
    <x:row r="40" ht="26.399999618530273" hidden="0" customHeight="1">
      <x:c r="A40" s="140" t="str">
        <x:v>Выбрано не больше активной команды</x:v>
      </x:c>
      <x:c r="B40" s="156" t="n">
        <x:f>MAX(C9-B9,C10-B10,C11-B11,C12-B12,C13-B13)</x:f>
        <x:v>0</x:v>
      </x:c>
      <x:c r="C40" s="156" t="n">
        <x:v>0</x:v>
      </x:c>
      <x:c r="D40" s="156" t="n">
        <x:f>B40-C40</x:f>
        <x:v>0</x:v>
      </x:c>
      <x:c r="E40" s="135" t="str">
        <x:f>IF(B40&lt;=0,"OK","СТОП")</x:f>
        <x:v>OK</x:v>
      </x:c>
    </x:row>
    <x:row r="41" ht="26.399999618530273" hidden="0" customHeight="1">
      <x:c r="A41" s="140" t="str">
        <x:v>Все годовые capacity-check проходят</x:v>
      </x:c>
      <x:c r="B41" s="135" t="str">
        <x:f>$J$23</x:f>
        <x:v>OK</x:v>
      </x:c>
      <x:c r="C41" s="135" t="str">
        <x:v>OK</x:v>
      </x:c>
      <x:c r="D41" s="135"/>
      <x:c r="E41" s="135" t="str">
        <x:f>IF(B41=C41,"OK","СТОП")</x:f>
        <x:v>OK</x:v>
      </x:c>
    </x:row>
    <x:row r="42" ht="15" hidden="0" customHeight="1">
      <x:c r="A42" s="113" t="str">
        <x:v>MODEL STATUS</x:v>
      </x:c>
      <x:c r="B42" s="113"/>
      <x:c r="C42" s="113"/>
      <x:c r="D42" s="113"/>
      <x:c r="E42" s="113" t="str">
        <x:f>IF(COUNTIF(E37:E41,"&lt;&gt;OK")=0,"PASS","FAIL")</x:f>
        <x:v>PASS</x:v>
      </x:c>
    </x:row>
    <x:row r="43"/>
    <x:row r="44" ht="15" hidden="0" customHeight="1">
      <x:c r="A44" s="114" t="str">
        <x:v>5. Как читать модель</x:v>
      </x:c>
      <x:c r="B44" s="114"/>
      <x:c r="C44" s="114"/>
      <x:c r="D44" s="114"/>
      <x:c r="E44" s="114"/>
      <x:c r="F44" s="114"/>
      <x:c r="G44" s="114"/>
      <x:c r="H44" s="114"/>
      <x:c r="I44" s="114"/>
      <x:c r="J44" s="114"/>
    </x:row>
    <x:row r="45" ht="15" hidden="0" customHeight="1">
      <x:c r="A45" s="143" t="str">
        <x:v>1. В начале каждого performance year Совет поимённо определяет участников, target 0,25–1,00, KPI, opening price и резервирует максимум units.</x:v>
      </x:c>
      <x:c r="B45" s="143"/>
      <x:c r="C45" s="143"/>
      <x:c r="D45" s="143"/>
      <x:c r="E45" s="143"/>
      <x:c r="F45" s="143"/>
      <x:c r="G45" s="143"/>
      <x:c r="H45" s="143"/>
      <x:c r="I45" s="143"/>
      <x:c r="J45" s="143"/>
    </x:row>
    <x:row r="46" ht="15" hidden="0" customHeight="1">
      <x:c r="A46" s="143" t="str">
        <x:v>2. Раунд внутри года не меняет opening price текущего цикла. Он влияет на будущую долю и стоимость через обычное размытие, как для common shareholders.</x:v>
      </x:c>
      <x:c r="B46" s="143"/>
      <x:c r="C46" s="143"/>
      <x:c r="D46" s="143"/>
      <x:c r="E46" s="143"/>
      <x:c r="F46" s="143"/>
      <x:c r="G46" s="143"/>
      <x:c r="H46" s="143"/>
      <x:c r="I46" s="143"/>
      <x:c r="J46" s="143"/>
    </x:row>
    <x:row r="47" ht="15" hidden="0" customHeight="1">
      <x:c r="A47" s="143" t="str">
        <x:v>3. После года Совет подтверждает 60/40 результат; подтверждённые units остаются занятыми, незаработанная часть освобождается, и только затем стартует 36-месячный вестинг.</x:v>
      </x:c>
      <x:c r="B47" s="143"/>
      <x:c r="C47" s="143"/>
      <x:c r="D47" s="143"/>
      <x:c r="E47" s="143"/>
      <x:c r="F47" s="143"/>
      <x:c r="G47" s="143"/>
      <x:c r="H47" s="143"/>
      <x:c r="I47" s="143"/>
      <x:c r="J47" s="143"/>
    </x:row>
    <x:row r="48" ht="15" hidden="0" customHeight="1">
      <x:c r="A48" s="143" t="str">
        <x:v>4. «Иные возвраты / leavers» — фактически возвращённые в пул units после применения good/bad leaver. Возврат не может превышать занятое плюс подтверждённое.</x:v>
      </x:c>
      <x:c r="B48" s="143"/>
      <x:c r="C48" s="143"/>
      <x:c r="D48" s="143"/>
      <x:c r="E48" s="143"/>
      <x:c r="F48" s="143"/>
      <x:c r="G48" s="143"/>
      <x:c r="H48" s="143"/>
      <x:c r="I48" s="143"/>
      <x:c r="J48" s="143"/>
    </x:row>
    <x:row r="49" ht="15" hidden="0" customHeight="1">
      <x:c r="A49" s="143" t="str">
        <x:v>5. Year 1 price 12 ₽ эквивалентна 1,2 млрд ₽ / 100 млн pre-round units и 1,6 млрд ₽ / 133,33 млн post-money units.</x:v>
      </x:c>
      <x:c r="B49" s="143"/>
      <x:c r="C49" s="143"/>
      <x:c r="D49" s="143"/>
      <x:c r="E49" s="143"/>
      <x:c r="F49" s="143"/>
      <x:c r="G49" s="143"/>
      <x:c r="H49" s="143"/>
      <x:c r="I49" s="143"/>
      <x:c r="J49" s="143"/>
    </x:row>
    <x:row r="50" ht="15" hidden="0" customHeight="1">
      <x:c r="A50" s="143" t="str">
        <x:v>6. Если циклы идут поверх входных грантов, в D4 нужен фактический остаток реестра: базовый входной сценарий листа «Калькулятор» уже использует 11,014 млн units и даёт СТОП. Ноль — отдельный clean-pool пример, не обещание capacity.</x:v>
      </x:c>
      <x:c r="B50" s="143"/>
      <x:c r="C50" s="143"/>
      <x:c r="D50" s="143"/>
      <x:c r="E50" s="143"/>
      <x:c r="F50" s="143"/>
      <x:c r="G50" s="143"/>
      <x:c r="H50" s="143"/>
      <x:c r="I50" s="143"/>
      <x:c r="J50" s="143"/>
    </x:row>
  </x:sheetData>
  <x:mergeCells>
    <x:mergeCell ref="A1:J1"/>
    <x:mergeCell ref="A2:J2"/>
    <x:mergeCell ref="A5:J5"/>
    <x:mergeCell ref="A7:I7"/>
    <x:mergeCell ref="A16:J16"/>
    <x:mergeCell ref="A25:E25"/>
    <x:mergeCell ref="A33:J33"/>
    <x:mergeCell ref="A35:E35"/>
    <x:mergeCell ref="A42:D42"/>
    <x:mergeCell ref="A44:J44"/>
    <x:mergeCell ref="A45:J45"/>
    <x:mergeCell ref="A46:J46"/>
    <x:mergeCell ref="A47:J47"/>
    <x:mergeCell ref="A48:J48"/>
    <x:mergeCell ref="A49:J49"/>
    <x:mergeCell ref="A50:J50"/>
  </x:mergeCells>
  <x:conditionalFormatting sqref="J18:J23">
    <x:cfRule type="containsText" dxfId="2" priority="1" operator="containsText" text="В ПРЕДЕЛАХ"/>
    <x:cfRule type="containsText" dxfId="3" priority="2" operator="containsText" text="OK"/>
    <x:cfRule type="containsText" dxfId="4" priority="3" operator="containsText" text="СТОП"/>
  </x:conditionalFormatting>
  <x:conditionalFormatting sqref="E37:E42">
    <x:cfRule type="containsText" dxfId="5" priority="4" operator="containsText" text="OK"/>
    <x:cfRule type="containsText" dxfId="6" priority="5" operator="containsText" text="PASS"/>
    <x:cfRule type="containsText" dxfId="7" priority="6" operator="containsText" text="СТОП"/>
    <x:cfRule type="containsText" dxfId="8" priority="7" operator="containsText" text="FAIL"/>
    <x:cfRule type="containsText" dxfId="9" priority="8" operator="containsText" text="ПРОВЕРИТЬ"/>
  </x:conditionalFormatting>
  <x:dataValidations count="5">
    <x:dataValidation type="whole" operator="between" sqref="C9:C13">
      <x:formula1>0</x:formula1>
      <x:formula2>20</x:formula2>
    </x:dataValidation>
    <x:dataValidation type="decimal" operator="between" sqref="D9:D13">
      <x:formula1>0</x:formula1>
      <x:formula2>500</x:formula2>
    </x:dataValidation>
    <x:dataValidation type="decimal" operator="between" sqref="F9:G13">
      <x:formula1>0</x:formula1>
      <x:formula2>1</x:formula2>
    </x:dataValidation>
    <x:dataValidation type="decimal" operator="greaterThanOrEqual" sqref="F18:F22">
      <x:formula1>0</x:formula1>
    </x:dataValidation>
    <x:dataValidation type="decimal" operator="greaterThanOrEqual" sqref="D4">
      <x:formula1>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8" hidden="0" customWidth="1"/>
    <x:col min="4" max="4" width="22" hidden="0" customWidth="1"/>
    <x:col min="5" max="5" width="23" hidden="0" customWidth="1"/>
    <x:col min="6" max="6" width="24" hidden="0" customWidth="1"/>
    <x:col min="7" max="7" width="24" hidden="0" customWidth="1"/>
    <x:col min="8" max="8" width="19" hidden="0" customWidth="1"/>
  </x:cols>
  <x:sheetData>
    <x:row r="1" ht="34" customHeight="1">
      <x:c r="A1" s="170" t="str">
        <x:v>LTI: общий пул 10% и два годовых гранта</x:v>
      </x:c>
      <x:c r="B1" s="170"/>
      <x:c r="C1" s="170"/>
      <x:c r="D1" s="170"/>
      <x:c r="E1" s="170"/>
      <x:c r="F1" s="170"/>
      <x:c r="G1" s="170"/>
      <x:c r="H1" s="170"/>
    </x:row>
    <x:row r="2" ht="30" customHeight="1">
      <x:c r="A2" s="173" t="str">
        <x:v>Сквозной пример для коммуникации. Все суммы — gross до налогов, юридических ограничений и waterfall; это сценарий, а не обещание выплаты.</x:v>
      </x:c>
      <x:c r="B2" s="173"/>
      <x:c r="C2" s="173"/>
      <x:c r="D2" s="173"/>
      <x:c r="E2" s="173"/>
      <x:c r="F2" s="173"/>
      <x:c r="G2" s="173"/>
      <x:c r="H2" s="173"/>
    </x:row>
    <x:row r="3">
      <x:c r="A3" s="168"/>
      <x:c r="B3" s="168"/>
      <x:c r="C3" s="168"/>
      <x:c r="D3" s="168"/>
      <x:c r="E3" s="168"/>
      <x:c r="F3" s="168"/>
      <x:c r="G3" s="168"/>
      <x:c r="H3" s="168"/>
    </x:row>
    <x:row r="4" ht="24" customHeight="1">
      <x:c r="A4" s="175" t="str">
        <x:v>1. Масштаб общего пула</x:v>
      </x:c>
      <x:c r="B4" s="175"/>
      <x:c r="C4" s="175"/>
      <x:c r="D4" s="175"/>
      <x:c r="E4" s="175"/>
      <x:c r="F4" s="175"/>
      <x:c r="G4" s="181" t="str">
        <x:v>Будущее размытие</x:v>
      </x:c>
      <x:c r="H4" s="201" t="n">
        <x:v>0.2</x:v>
      </x:c>
    </x:row>
    <x:row r="5" ht="42" customHeight="1">
      <x:c r="A5" s="179" t="str">
        <x:v>Сценарий</x:v>
      </x:c>
      <x:c r="B5" s="179" t="str">
        <x:v>Equity value, млн ₽</x:v>
      </x:c>
      <x:c r="C5" s="179" t="str">
        <x:v>Доля команды</x:v>
      </x:c>
      <x:c r="D5" s="179" t="str">
        <x:v>Общий пул, млн ₽</x:v>
      </x:c>
      <x:c r="E5" s="179" t="str">
        <x:v>Смысл</x:v>
      </x:c>
      <x:c r="F5" s="179"/>
      <x:c r="G5" s="179"/>
      <x:c r="H5" s="179"/>
    </x:row>
    <x:row r="6" ht="36" customHeight="1">
      <x:c r="A6" s="183" t="str">
        <x:v>Сейчас</x:v>
      </x:c>
      <x:c r="B6" s="198" t="n">
        <x:v>650</x:v>
      </x:c>
      <x:c r="C6" s="199" t="n">
        <x:v>0.1</x:v>
      </x:c>
      <x:c r="D6" s="200" t="n">
        <x:f>B6*C6</x:f>
        <x:v>65</x:v>
      </x:c>
      <x:c r="E6" s="187" t="str">
        <x:v>10% команды при оценке 650 млн ₽ = 65 млн ₽ общего экономического пула</x:v>
      </x:c>
      <x:c r="F6" s="187"/>
      <x:c r="G6" s="187"/>
      <x:c r="H6" s="187"/>
    </x:row>
    <x:row r="7" ht="36" customHeight="1">
      <x:c r="A7" s="183" t="str">
        <x:v>Цель — до будущего размытия</x:v>
      </x:c>
      <x:c r="B7" s="198" t="n">
        <x:v>16000</x:v>
      </x:c>
      <x:c r="C7" s="199" t="n">
        <x:v>0.1</x:v>
      </x:c>
      <x:c r="D7" s="200" t="n">
        <x:f>B7*C7</x:f>
        <x:v>1600</x:v>
      </x:c>
      <x:c r="E7" s="187" t="str">
        <x:v>При 16 млрд ₽ те же 10% = 1,6 млрд ₽ — если новых выпусков units не было</x:v>
      </x:c>
      <x:c r="F7" s="187"/>
      <x:c r="G7" s="187"/>
      <x:c r="H7" s="187"/>
    </x:row>
    <x:row r="8" ht="36" customHeight="1">
      <x:c r="A8" s="183" t="str">
        <x:v>Цель — после 20% размытия</x:v>
      </x:c>
      <x:c r="B8" s="198" t="n">
        <x:v>16000</x:v>
      </x:c>
      <x:c r="C8" s="199" t="n">
        <x:f>C7*(1-$H$4)</x:f>
        <x:v>0.08000000000000002</x:v>
      </x:c>
      <x:c r="D8" s="200" t="n">
        <x:f>B8*C8</x:f>
        <x:v>1280.0000000000002</x:v>
      </x:c>
      <x:c r="E8" s="187" t="str">
        <x:v>После 20% размытия прежние 10% становятся 8%; это 1,28 млрд ₽ при той же оценке</x:v>
      </x:c>
      <x:c r="F8" s="187"/>
      <x:c r="G8" s="187"/>
      <x:c r="H8" s="187"/>
    </x:row>
    <x:row r="9">
      <x:c r="A9" s="168"/>
      <x:c r="B9" s="168"/>
      <x:c r="C9" s="168"/>
      <x:c r="D9" s="168"/>
      <x:c r="E9" s="168"/>
      <x:c r="F9" s="168"/>
      <x:c r="G9" s="168"/>
      <x:c r="H9" s="168"/>
    </x:row>
    <x:row r="10" ht="24" customHeight="1">
      <x:c r="A10" s="175" t="str">
        <x:v>2. Плановые диапазоны внутри одного hard cap 10%</x:v>
      </x:c>
      <x:c r="B10" s="175"/>
      <x:c r="C10" s="175"/>
      <x:c r="D10" s="175"/>
      <x:c r="E10" s="175"/>
      <x:c r="F10" s="175"/>
      <x:c r="G10" s="175"/>
      <x:c r="H10" s="175"/>
    </x:row>
    <x:row r="11" ht="42" customHeight="1">
      <x:c r="A11" s="179" t="str">
        <x:v>Кому / для чего</x:v>
      </x:c>
      <x:c r="B11" s="179" t="str">
        <x:v>Доля до раунда</x:v>
      </x:c>
      <x:c r="C11" s="179" t="str">
        <x:v>Units из 100 млн, млн</x:v>
      </x:c>
      <x:c r="D11" s="179" t="str">
        <x:v>При 650 млн ₽, млн ₽</x:v>
      </x:c>
      <x:c r="E11" s="179" t="str">
        <x:v>При 16 млрд ₽, млн ₽</x:v>
      </x:c>
      <x:c r="F11" s="179" t="str">
        <x:v>Доля после 20% размытия</x:v>
      </x:c>
      <x:c r="G11" s="179" t="str">
        <x:v>При 16 млрд ₽ после размытия, млн ₽</x:v>
      </x:c>
      <x:c r="H11" s="179" t="str">
        <x:v>Управление</x:v>
      </x:c>
    </x:row>
    <x:row r="12" ht="36" customHeight="1">
      <x:c r="A12" s="189" t="str">
        <x:v>Текущая команда</x:v>
      </x:c>
      <x:c r="B12" s="202" t="n">
        <x:v>0.05</x:v>
      </x:c>
      <x:c r="C12" s="206" t="n">
        <x:f>B12*100</x:f>
        <x:v>5</x:v>
      </x:c>
      <x:c r="D12" s="206" t="n">
        <x:f>$B$6*B12</x:f>
        <x:v>32.5</x:v>
      </x:c>
      <x:c r="E12" s="206" t="n">
        <x:f>$B$7*B12</x:f>
        <x:v>800</x:v>
      </x:c>
      <x:c r="F12" s="202" t="n">
        <x:f>B12*(1-$H$4)</x:f>
        <x:v>0.04000000000000001</x:v>
      </x:c>
      <x:c r="G12" s="206" t="n">
        <x:f>$B$7*F12</x:f>
        <x:v>640.0000000000001</x:v>
      </x:c>
      <x:c r="H12" s="189" t="str">
        <x:v>Ежегодные поимённые решения</x:v>
      </x:c>
    </x:row>
    <x:row r="13" ht="36" customHeight="1">
      <x:c r="A13" s="190" t="str">
        <x:v>Будущие сильные наймы</x:v>
      </x:c>
      <x:c r="B13" s="203" t="n">
        <x:v>0.04</x:v>
      </x:c>
      <x:c r="C13" s="207" t="n">
        <x:f>B13*100</x:f>
        <x:v>4</x:v>
      </x:c>
      <x:c r="D13" s="207" t="n">
        <x:f>$B$6*B13</x:f>
        <x:v>26</x:v>
      </x:c>
      <x:c r="E13" s="207" t="n">
        <x:f>$B$7*B13</x:f>
        <x:v>640</x:v>
      </x:c>
      <x:c r="F13" s="203" t="n">
        <x:f>B13*(1-$H$4)</x:f>
        <x:v>0.032</x:v>
      </x:c>
      <x:c r="G13" s="207" t="n">
        <x:f>$B$7*F13</x:f>
        <x:v>512</x:v>
      </x:c>
      <x:c r="H13" s="190" t="str">
        <x:v>Ёмкость для будущих ключевых ролей</x:v>
      </x:c>
    </x:row>
    <x:row r="14" ht="36" customHeight="1">
      <x:c r="A14" s="191" t="str">
        <x:v>Резерв Совета</x:v>
      </x:c>
      <x:c r="B14" s="204" t="n">
        <x:v>0.01</x:v>
      </x:c>
      <x:c r="C14" s="208" t="n">
        <x:f>B14*100</x:f>
        <x:v>1</x:v>
      </x:c>
      <x:c r="D14" s="208" t="n">
        <x:f>$B$6*B14</x:f>
        <x:v>6.5</x:v>
      </x:c>
      <x:c r="E14" s="208" t="n">
        <x:f>$B$7*B14</x:f>
        <x:v>160</x:v>
      </x:c>
      <x:c r="F14" s="204" t="n">
        <x:f>B14*(1-$H$4)</x:f>
        <x:v>0.008</x:v>
      </x:c>
      <x:c r="G14" s="208" t="n">
        <x:f>$B$7*F14</x:f>
        <x:v>128</x:v>
      </x:c>
      <x:c r="H14" s="191" t="str">
        <x:v>Только отдельные решения Совета</x:v>
      </x:c>
    </x:row>
    <x:row r="15" ht="36" customHeight="1">
      <x:c r="A15" s="193" t="str">
        <x:v>ИТОГО</x:v>
      </x:c>
      <x:c r="B15" s="205" t="n">
        <x:f>SUM(B12:B14)</x:f>
        <x:v>0.09999999999999999</x:v>
      </x:c>
      <x:c r="C15" s="209" t="n">
        <x:f>SUM(C12:C14)</x:f>
        <x:v>10</x:v>
      </x:c>
      <x:c r="D15" s="209" t="n">
        <x:f>SUM(D12:D14)</x:f>
        <x:v>65</x:v>
      </x:c>
      <x:c r="E15" s="209" t="n">
        <x:f>SUM(E12:E14)</x:f>
        <x:v>1600</x:v>
      </x:c>
      <x:c r="F15" s="205" t="n">
        <x:f>SUM(F12:F14)</x:f>
        <x:v>0.08000000000000002</x:v>
      </x:c>
      <x:c r="G15" s="209" t="n">
        <x:f>SUM(G12:G14)</x:f>
        <x:v>1280</x:v>
      </x:c>
      <x:c r="H15" s="193" t="str">
        <x:v>Перераспределение возможно только внутри 10%</x:v>
      </x:c>
    </x:row>
    <x:row r="16">
      <x:c r="A16" s="168"/>
      <x:c r="B16" s="168"/>
      <x:c r="C16" s="168"/>
      <x:c r="D16" s="168"/>
      <x:c r="E16" s="168"/>
      <x:c r="F16" s="168"/>
      <x:c r="G16" s="168"/>
      <x:c r="H16" s="168"/>
    </x:row>
    <x:row r="17" ht="24" customHeight="1">
      <x:c r="A17" s="175" t="str">
        <x:v>3. Один сотрудник: два независимых годовых гранта</x:v>
      </x:c>
      <x:c r="B17" s="175"/>
      <x:c r="C17" s="175"/>
      <x:c r="D17" s="175"/>
      <x:c r="E17" s="175"/>
      <x:c r="F17" s="175"/>
      <x:c r="G17" s="175"/>
      <x:c r="H17" s="175"/>
    </x:row>
    <x:row r="18" ht="42" customHeight="1">
      <x:c r="A18" s="179" t="str">
        <x:v>Метрика</x:v>
      </x:c>
      <x:c r="B18" s="179" t="str">
        <x:v>Грант 1</x:v>
      </x:c>
      <x:c r="C18" s="179" t="str">
        <x:v>Грант 2</x:v>
      </x:c>
      <x:c r="D18" s="179" t="str">
        <x:v>Почему так</x:v>
      </x:c>
      <x:c r="E18" s="179"/>
      <x:c r="F18" s="179" t="str">
        <x:v>Итог двух грантов</x:v>
      </x:c>
      <x:c r="G18" s="179"/>
      <x:c r="H18" s="179"/>
    </x:row>
    <x:row r="19" ht="42" customHeight="1">
      <x:c r="A19" s="188" t="str">
        <x:v>Подтверждённая сумма, млн ₽</x:v>
      </x:c>
      <x:c r="B19" s="206" t="n">
        <x:v>5</x:v>
      </x:c>
      <x:c r="C19" s="206" t="n">
        <x:v>5</x:v>
      </x:c>
      <x:c r="D19" s="188" t="str">
        <x:v>Один годовой оклад в каждом цикле</x:v>
      </x:c>
      <x:c r="E19" s="188"/>
      <x:c r="F19" s="193" t="str">
        <x:v>До ещё одного будущего раунда, млн ₽</x:v>
      </x:c>
      <x:c r="G19" s="193"/>
      <x:c r="H19" s="209" t="n">
        <x:f>SUM(B24:C24)</x:f>
        <x:v>165.12820512820514</x:v>
      </x:c>
    </x:row>
    <x:row r="20" ht="42" customHeight="1">
      <x:c r="A20" s="188" t="str">
        <x:v>Opening equity value, млн ₽</x:v>
      </x:c>
      <x:c r="B20" s="206" t="n">
        <x:v>650</x:v>
      </x:c>
      <x:c r="C20" s="206" t="n">
        <x:v>1200</x:v>
      </x:c>
      <x:c r="D20" s="188" t="str">
        <x:v>Второй цикл использует новую стартовую базу: прошлый раунд уже внутри 1,2 млрд ₽</x:v>
      </x:c>
      <x:c r="E20" s="188"/>
      <x:c r="F20" s="193" t="str">
        <x:v>Если после обоих ещё 20% размытия, млн ₽</x:v>
      </x:c>
      <x:c r="G20" s="193"/>
      <x:c r="H20" s="209" t="n">
        <x:f>H19*(1-$H$4)</x:f>
        <x:v>132.10256410256412</x:v>
      </x:c>
    </x:row>
    <x:row r="21" ht="42" customHeight="1">
      <x:c r="A21" s="188" t="str">
        <x:v>Доля на дату выдачи</x:v>
      </x:c>
      <x:c r="B21" s="210" t="n">
        <x:f>B19/B20</x:f>
        <x:v>0.007692307692307693</x:v>
      </x:c>
      <x:c r="C21" s="210" t="n">
        <x:f>C19/C20</x:f>
        <x:v>0.004166666666666667</x:v>
      </x:c>
      <x:c r="D21" s="188" t="str">
        <x:v>Сумма гранта ÷ opening equity value</x:v>
      </x:c>
      <x:c r="E21" s="188"/>
      <x:c r="F21" s="196" t="str">
        <x:v>≈165,1 млн ₽ до нового раунда; ≈132,1 млн ₽ после ещё 20% размытия. Это сумма двух отдельных пакетов — каждый получает собственную дату подтверждения и собственный 36-месячный вестинг.</x:v>
      </x:c>
      <x:c r="G21" s="196"/>
      <x:c r="H21" s="196"/>
    </x:row>
    <x:row r="22" ht="42" customHeight="1">
      <x:c r="A22" s="188" t="str">
        <x:v>Размытие до выхода</x:v>
      </x:c>
      <x:c r="B22" s="210" t="n">
        <x:v>0.2</x:v>
      </x:c>
      <x:c r="C22" s="210" t="n">
        <x:v>0</x:v>
      </x:c>
      <x:c r="D22" s="188" t="str">
        <x:v>Для первого гранта показываем внутригодовой раунд 20%; для второго он уже учтён в базе</x:v>
      </x:c>
      <x:c r="E22" s="188"/>
      <x:c r="F22" s="196"/>
      <x:c r="G22" s="196"/>
      <x:c r="H22" s="196"/>
    </x:row>
    <x:row r="23" ht="42" customHeight="1">
      <x:c r="A23" s="188" t="str">
        <x:v>Доля на выходе</x:v>
      </x:c>
      <x:c r="B23" s="210" t="n">
        <x:f>B21*(1-B22)</x:f>
        <x:v>0.006153846153846155</x:v>
      </x:c>
      <x:c r="C23" s="210" t="n">
        <x:f>C21*(1-C22)</x:f>
        <x:v>0.004166666666666667</x:v>
      </x:c>
      <x:c r="D23" s="188" t="str">
        <x:v>Обычное размытие уменьшает процент, но не пересчитывает opening price</x:v>
      </x:c>
      <x:c r="E23" s="188"/>
      <x:c r="F23" s="196"/>
      <x:c r="G23" s="196"/>
      <x:c r="H23" s="196"/>
    </x:row>
    <x:row r="24" ht="42" customHeight="1">
      <x:c r="A24" s="188" t="str">
        <x:v>Gross value при 16 млрд ₽, млн ₽</x:v>
      </x:c>
      <x:c r="B24" s="211" t="n">
        <x:f>B23*$B$7</x:f>
        <x:v>98.46153846153848</x:v>
      </x:c>
      <x:c r="C24" s="211" t="n">
        <x:f>C23*$B$7</x:f>
        <x:v>66.66666666666667</x:v>
      </x:c>
      <x:c r="D24" s="188" t="str">
        <x:v>Оба гранта полностью vested; до налогов и waterfall</x:v>
      </x:c>
      <x:c r="E24" s="188"/>
      <x:c r="F24" s="196"/>
      <x:c r="G24" s="196"/>
      <x:c r="H24" s="196"/>
    </x:row>
    <x:row r="25">
      <x:c r="A25" s="168"/>
      <x:c r="B25" s="168"/>
      <x:c r="C25" s="168"/>
      <x:c r="D25" s="168"/>
      <x:c r="E25" s="168"/>
      <x:c r="F25" s="168"/>
      <x:c r="G25" s="168"/>
      <x:c r="H25" s="168"/>
    </x:row>
    <x:row r="26" ht="24" customHeight="1">
      <x:c r="A26" s="175" t="str">
        <x:v>4. Вестинг идёт параллельно, но отдельно по каждому гранту</x:v>
      </x:c>
      <x:c r="B26" s="175"/>
      <x:c r="C26" s="175"/>
      <x:c r="D26" s="175"/>
      <x:c r="E26" s="175"/>
      <x:c r="F26" s="175"/>
      <x:c r="G26" s="175"/>
      <x:c r="H26" s="175"/>
    </x:row>
    <x:row r="27" ht="42" customHeight="1">
      <x:c r="A27" s="189" t="str">
        <x:v>Грант 1</x:v>
      </x:c>
      <x:c r="B27" s="189" t="str">
        <x:v>Цикл 2027</x:v>
      </x:c>
      <x:c r="C27" s="189" t="str">
        <x:v>Подтверждение 01.01.2028</x:v>
      </x:c>
      <x:c r="D27" s="189" t="str">
        <x:v>1/12 каждые 3 месяца</x:v>
      </x:c>
      <x:c r="E27" s="189" t="str">
        <x:v>Полный вестинг 01.01.2031</x:v>
      </x:c>
      <x:c r="F27" s="189"/>
      <x:c r="G27" s="189"/>
      <x:c r="H27" s="189"/>
    </x:row>
    <x:row r="28" ht="42" customHeight="1">
      <x:c r="A28" s="190" t="str">
        <x:v>Грант 2</x:v>
      </x:c>
      <x:c r="B28" s="190" t="str">
        <x:v>Цикл 2028</x:v>
      </x:c>
      <x:c r="C28" s="190" t="str">
        <x:v>Подтверждение 01.01.2029</x:v>
      </x:c>
      <x:c r="D28" s="190" t="str">
        <x:v>1/12 каждые 3 месяца</x:v>
      </x:c>
      <x:c r="E28" s="190" t="str">
        <x:v>Полный вестинг 01.01.2032</x:v>
      </x:c>
      <x:c r="F28" s="190"/>
      <x:c r="G28" s="190"/>
      <x:c r="H28" s="190"/>
    </x:row>
    <x:row r="29" ht="42" customHeight="1">
      <x:c r="A29" s="197" t="str">
        <x:v>Важно</x:v>
      </x:c>
      <x:c r="B29" s="197" t="str">
        <x:v>Новый грант не автоматический</x:v>
      </x:c>
      <x:c r="C29" s="197" t="str">
        <x:v>Каждый цикл утверждается заново</x:v>
      </x:c>
      <x:c r="D29" s="197" t="str">
        <x:v>Уход затрагивает каждый грант отдельно</x:v>
      </x:c>
      <x:c r="E29" s="197" t="str">
        <x:v>Учитывается только vested-часть</x:v>
      </x:c>
      <x:c r="F29" s="197"/>
      <x:c r="G29" s="197"/>
      <x:c r="H29" s="197"/>
    </x:row>
  </x:sheetData>
  <x:mergeCells>
    <x:mergeCell ref="A1:H1"/>
    <x:mergeCell ref="A2:H2"/>
    <x:mergeCell ref="A4:F4"/>
    <x:mergeCell ref="E5:H5"/>
    <x:mergeCell ref="E6:H6"/>
    <x:mergeCell ref="E7:H7"/>
    <x:mergeCell ref="E8:H8"/>
    <x:mergeCell ref="A10:H10"/>
    <x:mergeCell ref="A17:H17"/>
    <x:mergeCell ref="D18:E18"/>
    <x:mergeCell ref="F18:H18"/>
    <x:mergeCell ref="D19:E19"/>
    <x:mergeCell ref="D20:E20"/>
    <x:mergeCell ref="D21:E21"/>
    <x:mergeCell ref="D22:E22"/>
    <x:mergeCell ref="D23:E23"/>
    <x:mergeCell ref="D24:E24"/>
    <x:mergeCell ref="F19:G19"/>
    <x:mergeCell ref="F20:G20"/>
    <x:mergeCell ref="F21:H24"/>
    <x:mergeCell ref="A26:H26"/>
    <x:mergeCell ref="E27:H27"/>
    <x:mergeCell ref="E28:H28"/>
    <x:mergeCell ref="E29:H29"/>
  </x:mergeCells>
  <x:pageMargins left="0.7" right="0.7" top="0.75" bottom="0.75" header="0.3" footer="0.3"/>
</x:worksheet>
</file>