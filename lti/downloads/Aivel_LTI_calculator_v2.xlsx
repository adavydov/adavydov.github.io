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ab50d898c042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Калькулятор" sheetId="1" r:id="R3b5c16e8f75f44c6"/>
    <x:sheet xmlns:r="http://schemas.openxmlformats.org/officeDocument/2006/relationships" name="Один пакет" sheetId="2" r:id="R50f2bc9534c64cf9"/>
    <x:sheet xmlns:r="http://schemas.openxmlformats.org/officeDocument/2006/relationships" name="Правила и сверка" sheetId="3" r:id="Rb8703d09b7cc4b7c"/>
    <x:sheet xmlns:r="http://schemas.openxmlformats.org/officeDocument/2006/relationships" name="Ежегодные циклы" sheetId="4" r:id="R9e706a2564154aed"/>
    <x:sheet xmlns:r="http://schemas.openxmlformats.org/officeDocument/2006/relationships" name="Резерв и пять лет" sheetId="5" r:id="R6b8dc65f0d9b49c3"/>
  </x:sheets>
</x:workbook>
</file>

<file path=xl/comments1.xml><?xml version="1.0" encoding="utf-8"?>
<x:comments xmlns:x="http://schemas.openxmlformats.org/spreadsheetml/2006/main">
  <x:authors>
    <x:author>Codex</x:author>
  </x:authors>
  <x:commentList>
    <x:comment ref="I10" authorId="0">
      <x:text>
        <x:r>
          <x:t>Размер пакета при 100% результата; допустимый диапазон 0,50–1,50.</x:t>
        </x:r>
      </x:text>
    </x:comment>
    <x:comment ref="I11" authorId="0">
      <x:text>
        <x:r>
          <x:t>Размер пакета при 100% результата; допустимый диапазон 0,50–1,50.</x:t>
        </x:r>
      </x:text>
    </x:comment>
    <x:comment ref="I12" authorId="0">
      <x:text>
        <x:r>
          <x:t>Размер пакета при 100% результата; допустимый диапазон 0,50–1,50.</x:t>
        </x:r>
      </x:text>
    </x:comment>
    <x:comment ref="B38" authorId="0">
      <x:text>
        <x:r>
          <x:t>Чем больше вес, тем больше часть роста приходится на этот год. Значения 5 / 4 / 3 / 2 / 1 дают плавное замедление.</x:t>
        </x:r>
      </x:text>
    </x:comment>
    <x:comment ref="B39" authorId="0">
      <x:text>
        <x:r>
          <x:t>Чем больше вес, тем больше часть роста приходится на этот год. Значения 5 / 4 / 3 / 2 / 1 дают плавное замедление.</x:t>
        </x:r>
      </x:text>
    </x:comment>
    <x:comment ref="B40" authorId="0">
      <x:text>
        <x:r>
          <x:t>Чем больше вес, тем больше часть роста приходится на этот год. Значения 5 / 4 / 3 / 2 / 1 дают плавное замедление.</x:t>
        </x:r>
      </x:text>
    </x:comment>
    <x:comment ref="B41" authorId="0">
      <x:text>
        <x:r>
          <x:t>Чем больше вес, тем больше часть роста приходится на этот год. Значения 5 / 4 / 3 / 2 / 1 дают плавное замедление.</x:t>
        </x:r>
      </x:text>
    </x:comment>
    <x:comment ref="B42" authorId="0">
      <x:text>
        <x:r>
          <x:t>Чем больше вес, тем больше часть роста приходится на этот год. Значения 5 / 4 / 3 / 2 / 1 дают плавное замедление.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6">
    <x:numFmt numFmtId="164" formatCode="0.0%"/>
    <x:numFmt numFmtId="165" formatCode="0.0"/>
    <x:numFmt numFmtId="200" formatCode="#,##0.00"/>
    <x:numFmt numFmtId="201" formatCode="0.00x"/>
    <x:numFmt numFmtId="202" formatCode="#,##0 [$₽-ru-RU]"/>
    <x:numFmt numFmtId="203" formatCode="#,##0.00 [$₽-ru-RU]"/>
    <x:numFmt numFmtId="204" formatCode="0.0000%"/>
    <x:numFmt numFmtId="205" formatCode="#,##0.0 [$₽-ru-RU]"/>
    <x:numFmt numFmtId="206" formatCode="dd.mm.yyyy"/>
    <x:numFmt numFmtId="207" formatCode="#,##0"/>
    <x:numFmt numFmtId="208" formatCode="0.0x"/>
    <x:numFmt numFmtId="209" formatCode="#,##0.0"/>
    <x:numFmt numFmtId="210" formatCode="0.000%"/>
    <x:numFmt numFmtId="211" formatCode="#,##0.000"/>
    <x:numFmt numFmtId="212" formatCode="0.00"/>
    <x:numFmt numFmtId="213" formatCode="0.000"/>
  </x:numFmts>
  <x:fonts count="63">
    <x:font>
      <x:sz val="11"/>
      <x:color theme="1"/>
      <x:name val="Calibri"/>
    </x:font>
    <x:font>
      <x:b/>
      <x:sz val="18"/>
      <x:color rgb="FFFFFFFF"/>
      <x:name val="Calibri"/>
    </x:font>
    <x:font>
      <x:sz val="10"/>
      <x:color rgb="FF1F2937"/>
      <x:name val="Calibri"/>
    </x:font>
    <x:font>
      <x:b/>
      <x:sz val="9"/>
      <x:color rgb="FFFFFFFF"/>
      <x:name val="Calibri"/>
    </x:font>
    <x:font>
      <x:b/>
      <x:sz val="18"/>
      <x:color rgb="FF17365D"/>
      <x:name val="Calibri"/>
    </x:font>
    <x:font>
      <x:b/>
      <x:sz val="11"/>
      <x:color rgb="FFFFFFFF"/>
      <x:name val="Calibri"/>
    </x:font>
    <x:font>
      <x:sz val="9"/>
      <x:color rgb="FF1F2937"/>
      <x:name val="Calibri"/>
    </x:font>
    <x:font>
      <x:b/>
      <x:sz val="9"/>
      <x:color rgb="FF1F2937"/>
      <x:name val="Calibri"/>
    </x:font>
    <x:font>
      <x:i/>
      <x:sz val="9"/>
      <x:color rgb="FF1F2937"/>
      <x:name val="Calibri"/>
    </x:font>
    <x:font>
      <x:sz val="10"/>
      <x:name val="Arial"/>
    </x:font>
    <x:font>
      <x:sz val="9"/>
      <x:color rgb="FF1F4E78"/>
      <x:name val="Calibri"/>
    </x:font>
    <x:font>
      <x:b/>
      <x:sz val="9"/>
      <x:color rgb="FF0F172A"/>
      <x:name val="Calibri"/>
    </x:font>
    <x:font>
      <x:i/>
      <x:sz val="11"/>
      <x:color rgb="FF334155"/>
      <x:name val="Calibri"/>
    </x:font>
    <x:font>
      <x:b/>
      <x:sz val="11"/>
      <x:color rgb="FF1F4E78"/>
      <x:name val="Calibri"/>
    </x:font>
    <x:font>
      <x:b/>
      <x:sz val="11"/>
      <x:color rgb="FF0F172A"/>
      <x:name val="Calibri"/>
    </x:font>
    <x:font>
      <x:b/>
      <x:sz val="14"/>
      <x:color rgb="FF0A66D6"/>
      <x:name val="Calibri"/>
    </x:font>
    <x:font>
      <x:b/>
      <x:sz val="12"/>
      <x:color rgb="FF0A66D6"/>
      <x:name val="Calibri"/>
    </x:font>
    <x:font>
      <x:b/>
      <x:sz val="11"/>
      <x:color rgb="FF9A3412"/>
      <x:name val="Calibri"/>
    </x:font>
    <x:font>
      <x:sz val="9"/>
      <x:color rgb="FF0F172A"/>
      <x:name val="Calibri"/>
    </x:font>
    <x:font>
      <x:b/>
      <x:sz val="12"/>
      <x:color rgb="FF0F172A"/>
      <x:name val="Calibri"/>
    </x:font>
    <x:font>
      <x:b/>
      <x:sz val="12"/>
      <x:color rgb="FF008000"/>
      <x:name val="Calibri"/>
    </x:font>
    <x:font>
      <x:b/>
      <x:sz val="12"/>
      <x:color rgb="FF0000FF"/>
      <x:name val="Calibri"/>
    </x:font>
    <x:font>
      <x:sz val="11"/>
      <x:color rgb="FF0000FF"/>
      <x:name val="Calibri"/>
    </x:font>
    <x:font>
      <x:sz val="11"/>
      <x:color rgb="FF008000"/>
      <x:name val="Calibri"/>
    </x:font>
    <x:font>
      <x:sz val="11"/>
      <x:color rgb="FF0F172A"/>
      <x:name val="Calibri"/>
    </x:font>
    <x:font>
      <x:sz val="11"/>
      <x:color rgb="FF475569"/>
      <x:name val="Calibri"/>
    </x:font>
    <x:font>
      <x:sz val="10"/>
      <x:color rgb="FF172033"/>
      <x:name val="Calibri"/>
    </x:font>
    <x:font>
      <x:sz val="10"/>
      <x:color rgb="FF172033"/>
      <x:name val="Aptos"/>
    </x:font>
    <x:font>
      <x:b/>
      <x:sz val="18"/>
      <x:color rgb="FFFFFFFF"/>
      <x:name val="Aptos Display"/>
    </x:font>
    <x:font>
      <x:i/>
      <x:sz val="10"/>
      <x:color rgb="FF526173"/>
      <x:name val="Aptos"/>
    </x:font>
    <x:font>
      <x:b/>
      <x:sz val="11"/>
      <x:color rgb="FFFFFFFF"/>
      <x:name val="Aptos"/>
    </x:font>
    <x:font>
      <x:b/>
      <x:sz val="9"/>
      <x:color rgb="FFFFFFFF"/>
      <x:name val="Aptos"/>
    </x:font>
    <x:font>
      <x:b/>
      <x:sz val="10"/>
      <x:color rgb="FF172033"/>
      <x:name val="Aptos"/>
    </x:font>
    <x:font>
      <x:b/>
      <x:sz val="12"/>
      <x:color rgb="FF17365D"/>
      <x:name val="Aptos"/>
    </x:font>
    <x:font>
      <x:b/>
      <x:sz val="10"/>
      <x:color rgb="FF17365D"/>
      <x:name val="Aptos"/>
    </x:font>
    <x:font>
      <x:b/>
      <x:sz val="11"/>
      <x:color rgb="FF17365D"/>
      <x:name val="Aptos"/>
    </x:font>
    <x:font>
      <x:i/>
      <x:sz val="10"/>
      <x:color rgb="FF44546A"/>
      <x:name val="Calibri"/>
    </x:font>
    <x:font>
      <x:sz val="9"/>
      <x:color rgb="FF0000FF"/>
      <x:name val="Calibri"/>
    </x:font>
    <x:font>
      <x:b/>
      <x:sz val="9"/>
      <x:color rgb="FF0000FF"/>
      <x:name val="Calibri"/>
    </x:font>
    <x:font>
      <x:b/>
      <x:sz val="9"/>
      <x:color rgb="FF000000"/>
      <x:name val="Calibri"/>
    </x:font>
    <x:font>
      <x:sz val="9"/>
      <x:color rgb="FF000000"/>
      <x:name val="Calibri"/>
    </x:font>
    <x:font>
      <x:sz val="11"/>
      <x:color rgb="FF000000"/>
      <x:name val="Calibri"/>
    </x:font>
    <x:font>
      <x:b/>
      <x:sz val="9"/>
      <x:color rgb="FF17365D"/>
      <x:name val="Calibri"/>
    </x:font>
    <x:font>
      <x:b/>
      <x:sz val="11"/>
      <x:color rgb="FF17365D"/>
      <x:name val="Calibri"/>
    </x:font>
    <x:font>
      <x:i/>
      <x:sz val="9"/>
      <x:color rgb="FF7F6000"/>
      <x:name val="Calibri"/>
    </x:font>
    <x:font>
      <x:i/>
      <x:sz val="11"/>
      <x:color rgb="FF44546A"/>
      <x:name val="Calibri"/>
    </x:font>
    <x:font>
      <x:b/>
      <x:sz val="11"/>
      <x:color rgb="FF008000"/>
      <x:name val="Calibri"/>
    </x:font>
    <x:font>
      <x:b/>
      <x:sz val="11"/>
      <x:color rgb="FF000000"/>
      <x:name val="Calibri"/>
    </x:font>
    <x:font>
      <x:b/>
      <x:sz val="11"/>
      <x:color rgb="FF7F6000"/>
      <x:name val="Calibri"/>
    </x:font>
    <x:font>
      <x:b/>
      <x:sz val="11"/>
      <x:color rgb="FF9E480E"/>
      <x:name val="Calibri"/>
    </x:font>
    <x:font>
      <x:i/>
      <x:sz val="10"/>
      <x:color rgb="FF44546A"/>
      <x:name val="Aptos"/>
    </x:font>
    <x:font>
      <x:b/>
      <x:sz val="10"/>
      <x:color rgb="FF008000"/>
      <x:name val="Aptos"/>
    </x:font>
    <x:font>
      <x:sz val="10"/>
      <x:color rgb="FF008000"/>
      <x:name val="Aptos"/>
    </x:font>
    <x:font>
      <x:b/>
      <x:sz val="12"/>
      <x:color rgb="FF000000"/>
      <x:name val="Aptos"/>
    </x:font>
    <x:font>
      <x:sz val="10"/>
      <x:color rgb="FF0000FF"/>
      <x:name val="Aptos"/>
    </x:font>
    <x:font>
      <x:sz val="10"/>
      <x:color rgb="FF000000"/>
      <x:name val="Aptos"/>
    </x:font>
    <x:font>
      <x:b/>
      <x:sz val="10"/>
      <x:color rgb="FF000000"/>
      <x:name val="Aptos"/>
    </x:font>
    <x:font>
      <x:b/>
      <x:sz val="11"/>
      <x:color rgb="FF008000"/>
      <x:name val="Aptos"/>
    </x:font>
    <x:font>
      <x:b/>
      <x:sz val="10"/>
      <x:color rgb="FF7F6000"/>
      <x:name val="Aptos"/>
    </x:font>
    <x:font>
      <x:b/>
      <x:sz val="10"/>
      <x:color rgb="FF9E480E"/>
      <x:name val="Aptos"/>
    </x:font>
    <x:font>
      <x:b/>
      <x:sz val="10"/>
      <x:color rgb="FFFFFFFF"/>
      <x:name val="Aptos"/>
    </x:font>
    <x:font>
      <x:b/>
      <x:sz val="11"/>
      <x:color rgb="FF44546A"/>
      <x:name val="Calibri"/>
    </x:font>
    <x:font>
      <x:b/>
      <x:sz val="11"/>
      <x:color rgb="FF0000FF"/>
      <x:name val="Calibri"/>
    </x:font>
  </x:fonts>
  <x:fills count="9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2F5597"/>
      </x:patternFill>
    </x:fill>
    <x:fill>
      <x:patternFill patternType="solid">
        <x:fgColor rgb="FFE2F0D9"/>
      </x:patternFill>
    </x:fill>
    <x:fill>
      <x:patternFill patternType="solid">
        <x:fgColor rgb="FF5B9BD5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E2E8F0"/>
      </x:patternFill>
    </x:fill>
    <x:fill>
      <x:patternFill patternType="solid">
        <x:fgColor rgb="FF0F172A"/>
      </x:patternFill>
    </x:fill>
    <x:fill>
      <x:patternFill patternType="solid">
        <x:fgColor rgb="FF1F4E78"/>
      </x:patternFill>
    </x:fill>
    <x:fill>
      <x:patternFill patternType="solid">
        <x:fgColor rgb="FFF8FAFC"/>
      </x:patternFill>
    </x:fill>
    <x:fill>
      <x:patternFill patternType="solid">
        <x:fgColor rgb="FFDBEAFE"/>
      </x:patternFill>
    </x:fill>
    <x:fill>
      <x:patternFill patternType="solid">
        <x:fgColor rgb="FFEEF3FA"/>
      </x:patternFill>
    </x:fill>
    <x:fill>
      <x:patternFill patternType="solid">
        <x:fgColor rgb="FFFFF7ED"/>
      </x:patternFill>
    </x:fill>
    <x:fill>
      <x:patternFill patternType="solid">
        <x:fgColor rgb="FFDDEBF7"/>
      </x:patternFill>
    </x:fill>
    <x:fill>
      <x:patternFill patternType="solid">
        <x:fgColor rgb="FFF8FAFC"/>
      </x:patternFill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F8FAFC"/>
      </x:patternFill>
    </x:fill>
    <x:fill>
      <x:patternFill patternType="solid">
        <x:fgColor rgb="FF1F4E78"/>
      </x:patternFill>
    </x:fill>
    <x:fill>
      <x:patternFill patternType="solid">
        <x:fgColor rgb="FF0F172A"/>
      </x:patternFill>
    </x:fill>
    <x:fill>
      <x:patternFill patternType="solid">
        <x:fgColor rgb="FFE2E8F0"/>
      </x:patternFill>
    </x:fill>
    <x:fill>
      <x:patternFill patternType="solid">
        <x:fgColor rgb="FF1F4E78"/>
      </x:patternFill>
    </x:fill>
    <x:fill>
      <x:patternFill patternType="solid">
        <x:fgColor rgb="FFEEF3FA"/>
      </x:patternFill>
    </x:fill>
    <x:fill>
      <x:patternFill patternType="solid">
        <x:fgColor rgb="FFDBEAFE"/>
      </x:patternFill>
    </x:fill>
    <x:fill>
      <x:patternFill patternType="solid">
        <x:fgColor rgb="FFDDEBF7"/>
      </x:patternFill>
    </x:fill>
    <x:fill>
      <x:patternFill patternType="solid">
        <x:fgColor rgb="FFFFF7ED"/>
      </x:patternFill>
    </x:fill>
    <x:fill>
      <x:patternFill patternType="solid">
        <x:fgColor rgb="FFF8FAFC"/>
      </x:patternFill>
    </x:fill>
    <x:fill>
      <x:patternFill patternType="solid">
        <x:fgColor rgb="FF2F5597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6ECF4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  <x:fill>
      <x:patternFill patternType="solid">
        <x:fgColor rgb="FFF4F7FB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EAF2F8"/>
      </x:patternFill>
    </x:fill>
    <x:fill>
      <x:patternFill patternType="solid">
        <x:fgColor rgb="FFF6F8FB"/>
      </x:patternFill>
    </x:fill>
    <x:fill>
      <x:patternFill patternType="solid">
        <x:fgColor rgb="FFFFF4E5"/>
      </x:patternFill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2F5597"/>
      </x:patternFill>
    </x:fill>
    <x:fill>
      <x:patternFill patternType="solid">
        <x:fgColor rgb="FFE2F0D9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2F5597"/>
      </x:patternFill>
    </x:fill>
    <x:fill>
      <x:patternFill patternType="solid">
        <x:fgColor rgb="FFE2F0D9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2F5597"/>
      </x:patternFill>
    </x:fill>
    <x:fill>
      <x:patternFill patternType="solid">
        <x:fgColor rgb="FFE2F0D9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2F5597"/>
      </x:patternFill>
    </x:fill>
    <x:fill>
      <x:patternFill patternType="solid">
        <x:fgColor rgb="FFE2F0D9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2F5597"/>
      </x:patternFill>
    </x:fill>
    <x:fill>
      <x:patternFill patternType="solid">
        <x:fgColor rgb="FFE2F0D9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</x:fills>
  <x:borders count="14">
    <x:border/>
    <x:border>
      <x:left style="medium">
        <x:color rgb="FF17365D"/>
      </x:left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double">
        <x:color rgb="FF94A3B8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 diagonalUp="0" diagonalDown="0">
      <x:left style="none"/>
      <x:top style="none"/>
      <x:bottom style="none"/>
    </x:border>
    <x:border diagonalUp="0" diagonalDown="0">
      <x:top style="none"/>
      <x:bottom style="none"/>
    </x:border>
    <x:border diagonalUp="0" diagonalDown="0">
      <x:right style="none"/>
      <x:top style="none"/>
      <x:bottom style="none"/>
    </x:border>
    <x:border>
      <x:left style="medium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medium">
        <x:color rgb="FFD9E2F3"/>
      </x:left>
      <x:right style="thin">
        <x:color rgb="FFD9E2F3"/>
      </x:right>
    </x:border>
    <x:border>
      <x:left style="medium">
        <x:color rgb="FFD9E2F3"/>
      </x:left>
      <x:right style="thin">
        <x:color rgb="FFD9E2F3"/>
      </x:right>
      <x:bottom style="thin">
        <x:color rgb="FFD9E2F3"/>
      </x:bottom>
    </x:border>
    <x:border diagonalUp="0" diagonalDown="0">
      <x:left style="none"/>
      <x:right style="thin">
        <x:color rgb="FFD9E2F3"/>
      </x:right>
      <x:top style="none"/>
      <x:bottom style="none"/>
    </x:border>
    <x:border diagonalUp="0" diagonalDown="0">
      <x:left style="thin">
        <x:color rgb="FFD9E2F3"/>
      </x:left>
      <x:right style="thin">
        <x:color rgb="FFD9E2F3"/>
      </x:right>
      <x:top style="none"/>
      <x:bottom style="none"/>
    </x:border>
    <x:border diagonalUp="0" diagonalDown="0">
      <x:left style="thin">
        <x:color rgb="FFD9E2F3"/>
      </x:left>
      <x:right style="none"/>
      <x:top style="none"/>
      <x:bottom style="none"/>
    </x:border>
  </x:borders>
  <x:cellStyleXfs count="1">
    <x:xf numFmtId="0" fontId="0" fillId="0" borderId="0"/>
  </x:cellStyleXfs>
  <x:cellXfs count="1339">
    <x:xf numFmtId="0" fontId="0" fillId="0" borderId="0" xfId="0"/>
    <x:xf numFmtId="0" fontId="0" fillId="0" borderId="0" xfId="0" applyAlignment="1"/>
    <x:xf numFmtId="0" fontId="3" fillId="6" borderId="2" xfId="0" applyFont="1" applyFill="1" applyBorder="1" applyAlignment="1">
      <x:alignment horizontal="center" vertical="center" wrapText="1"/>
    </x:xf>
    <x:xf numFmtId="0" fontId="6" fillId="7" borderId="2" xfId="0" applyFont="1" applyFill="1" applyBorder="1" applyAlignment="1">
      <x:alignment vertical="center" wrapText="1"/>
    </x:xf>
    <x:xf numFmtId="165" fontId="6" fillId="8" borderId="2" xfId="0" applyNumberFormat="1" applyFont="1" applyFill="1" applyBorder="1" applyAlignment="1">
      <x:alignment vertical="center" wrapText="1"/>
    </x:xf>
    <x:xf numFmtId="165" fontId="6" fillId="3" borderId="2" xfId="0" applyNumberFormat="1" applyFont="1" applyFill="1" applyBorder="1" applyAlignment="1">
      <x:alignment vertical="center" wrapText="1"/>
    </x:xf>
    <x:xf numFmtId="2" fontId="6" fillId="8" borderId="2" xfId="0" applyNumberFormat="1" applyFont="1" applyFill="1" applyBorder="1" applyAlignment="1">
      <x:alignment vertical="center" wrapText="1"/>
    </x:xf>
    <x:xf numFmtId="1" fontId="6" fillId="3" borderId="2" xfId="0" applyNumberFormat="1" applyFont="1" applyFill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2" fontId="6" fillId="3" borderId="2" xfId="0" applyNumberFormat="1" applyFont="1" applyFill="1" applyBorder="1" applyAlignment="1">
      <x:alignment vertical="center" wrapText="1"/>
    </x:xf>
    <x:xf numFmtId="1" fontId="6" fillId="8" borderId="2" xfId="0" applyNumberFormat="1" applyFont="1" applyFill="1" applyBorder="1" applyAlignment="1">
      <x:alignment vertical="center" wrapText="1"/>
    </x:xf>
    <x:xf numFmtId="164" fontId="6" fillId="8" borderId="2" xfId="0" applyNumberFormat="1" applyFont="1" applyFill="1" applyBorder="1" applyAlignment="1">
      <x:alignment vertical="center" wrapText="1"/>
    </x:xf>
    <x:xf numFmtId="164" fontId="6" fillId="3" borderId="2" xfId="0" applyNumberFormat="1" applyFont="1" applyFill="1" applyBorder="1" applyAlignment="1">
      <x:alignment vertical="center" wrapText="1"/>
    </x:xf>
    <x:xf numFmtId="1" fontId="6" fillId="7" borderId="2" xfId="0" applyNumberFormat="1" applyFont="1" applyFill="1" applyBorder="1" applyAlignment="1">
      <x:alignment vertical="center" wrapText="1"/>
    </x:xf>
    <x:xf numFmtId="165" fontId="6" fillId="7" borderId="2" xfId="0" applyNumberFormat="1" applyFont="1" applyFill="1" applyBorder="1" applyAlignment="1">
      <x:alignment vertical="center" wrapText="1"/>
    </x:xf>
    <x:xf numFmtId="10" fontId="6" fillId="7" borderId="2" xfId="0" applyNumberFormat="1" applyFont="1" applyFill="1" applyBorder="1" applyAlignment="1">
      <x:alignment vertical="center" wrapText="1"/>
    </x:xf>
    <x:xf numFmtId="2" fontId="6" fillId="7" borderId="2" xfId="0" applyNumberFormat="1" applyFont="1" applyFill="1" applyBorder="1" applyAlignment="1">
      <x:alignment vertical="center" wrapText="1"/>
    </x:xf>
    <x:xf numFmtId="0" fontId="6" fillId="5" borderId="2" xfId="0" applyFont="1" applyFill="1" applyBorder="1" applyAlignment="1">
      <x:alignment vertical="center" wrapText="1"/>
    </x:xf>
    <x:xf numFmtId="165" fontId="6" fillId="5" borderId="2" xfId="0" applyNumberFormat="1" applyFont="1" applyFill="1" applyBorder="1" applyAlignment="1">
      <x:alignment vertical="center" wrapText="1"/>
    </x:xf>
    <x:xf numFmtId="1" fontId="6" fillId="5" borderId="2" xfId="0" applyNumberFormat="1" applyFont="1" applyFill="1" applyBorder="1" applyAlignment="1">
      <x:alignment vertical="center" wrapText="1"/>
    </x:xf>
    <x:xf numFmtId="10" fontId="6" fillId="5" borderId="2" xfId="0" applyNumberFormat="1" applyFont="1" applyFill="1" applyBorder="1" applyAlignment="1">
      <x:alignment vertical="center" wrapText="1"/>
    </x:xf>
    <x:xf numFmtId="2" fontId="6" fillId="5" borderId="2" xfId="0" applyNumberFormat="1" applyFont="1" applyFill="1" applyBorder="1" applyAlignment="1">
      <x:alignment vertical="center" wrapText="1"/>
    </x:xf>
    <x:xf numFmtId="1" fontId="6" fillId="0" borderId="2" xfId="0" applyNumberFormat="1" applyFont="1" applyBorder="1" applyAlignment="1">
      <x:alignment vertical="center" wrapText="1"/>
    </x:xf>
    <x:xf numFmtId="165" fontId="6" fillId="0" borderId="2" xfId="0" applyNumberFormat="1" applyFont="1" applyBorder="1" applyAlignment="1">
      <x:alignment vertical="center" wrapText="1"/>
    </x:xf>
    <x:xf numFmtId="164" fontId="6" fillId="0" borderId="2" xfId="0" applyNumberFormat="1" applyFont="1" applyBorder="1" applyAlignment="1">
      <x:alignment vertical="center" wrapText="1"/>
    </x:xf>
    <x:xf numFmtId="2" fontId="6" fillId="0" borderId="2" xfId="0" applyNumberFormat="1" applyFont="1" applyBorder="1" applyAlignment="1">
      <x:alignment vertical="center" wrapText="1"/>
    </x:xf>
    <x:xf numFmtId="164" fontId="6" fillId="7" borderId="2" xfId="0" applyNumberFormat="1" applyFont="1" applyFill="1" applyBorder="1" applyAlignment="1">
      <x:alignment vertical="center" wrapText="1"/>
    </x:xf>
    <x:xf numFmtId="0" fontId="8" fillId="8" borderId="0" xfId="0" applyFont="1" applyFill="1" applyBorder="1" applyAlignment="1">
      <x:alignment vertical="center" wrapText="1"/>
    </x:xf>
    <x:xf numFmtId="0" fontId="5" fillId="4" borderId="0" xfId="0" applyFont="1" applyFill="1" applyBorder="1" applyAlignment="1">
      <x:alignment vertical="center"/>
    </x:xf>
    <x:xf numFmtId="0" fontId="6" fillId="7" borderId="0" xfId="0" applyFont="1" applyFill="1" applyBorder="1" applyAlignment="1">
      <x:alignment vertical="center" wrapText="1"/>
    </x:xf>
    <x:xf numFmtId="0" fontId="7" fillId="10" borderId="0" xfId="0" applyFont="1" applyFill="1" applyBorder="1" applyAlignment="1">
      <x:alignment vertical="center" wrapText="1"/>
    </x:xf>
    <x:xf numFmtId="0" fontId="7" fillId="7" borderId="0" xfId="0" applyFont="1" applyFill="1" applyBorder="1" applyAlignment="1">
      <x:alignment vertical="center" wrapText="1"/>
    </x:xf>
    <x:xf numFmtId="0" fontId="6" fillId="10" borderId="0" xfId="0" applyFont="1" applyFill="1" applyBorder="1" applyAlignment="1">
      <x:alignment vertical="center" wrapText="1"/>
    </x:xf>
    <x:xf numFmtId="0" fontId="7" fillId="9" borderId="0" xfId="0" applyFont="1" applyFill="1" applyBorder="1" applyAlignment="1">
      <x:alignment vertical="center" wrapText="1"/>
    </x:xf>
    <x:xf numFmtId="1" fontId="4" fillId="5" borderId="1" xfId="0" applyNumberFormat="1" applyFont="1" applyFill="1" applyBorder="1" applyAlignment="1">
      <x:alignment horizontal="center" vertical="center" wrapText="1"/>
    </x:xf>
    <x:xf numFmtId="0" fontId="4" fillId="5" borderId="1" xfId="0" applyFont="1" applyFill="1" applyBorder="1" applyAlignment="1">
      <x:alignment horizontal="center" vertical="center" wrapText="1"/>
    </x:xf>
    <x:xf numFmtId="164" fontId="4" fillId="5" borderId="1" xfId="0" applyNumberFormat="1" applyFont="1" applyFill="1" applyBorder="1" applyAlignment="1">
      <x:alignment horizontal="center" vertical="center" wrapText="1"/>
    </x:xf>
    <x:xf numFmtId="165" fontId="4" fillId="5" borderId="1" xfId="0" applyNumberFormat="1" applyFont="1" applyFill="1" applyBorder="1" applyAlignment="1">
      <x:alignment horizontal="center" vertical="center" wrapText="1"/>
    </x:xf>
    <x:xf numFmtId="0" fontId="1" fillId="2" borderId="0" xfId="0" applyFont="1" applyFill="1" applyBorder="1" applyAlignment="1">
      <x:alignment vertical="center"/>
    </x:xf>
    <x:xf numFmtId="0" fontId="2" fillId="3" borderId="0" xfId="0" applyFont="1" applyFill="1" applyBorder="1" applyAlignment="1">
      <x:alignment vertical="center" wrapText="1"/>
    </x:xf>
    <x:xf numFmtId="0" fontId="3" fillId="4" borderId="1" xfId="0" applyFont="1" applyFill="1" applyBorder="1" applyAlignment="1">
      <x:alignment horizontal="center" vertical="center"/>
    </x:xf>
    <x:xf numFmtId="165" fontId="6" fillId="11" borderId="2" xfId="0" applyNumberFormat="1" applyFont="1" applyFill="1" applyBorder="1" applyAlignment="1">
      <x:alignment vertical="center" wrapText="1"/>
    </x:xf>
    <x:xf numFmtId="1" fontId="6" fillId="11" borderId="2" xfId="0" applyNumberFormat="1" applyFont="1" applyFill="1" applyBorder="1" applyAlignment="1">
      <x:alignment vertical="center" wrapText="1"/>
    </x:xf>
    <x:xf numFmtId="165" fontId="10" fillId="11" borderId="2" xfId="0" applyNumberFormat="1" applyFont="1" applyFill="1" applyBorder="1" applyAlignment="1">
      <x:alignment vertical="center" wrapText="1"/>
    </x:xf>
    <x:xf numFmtId="1" fontId="10" fillId="11" borderId="2" xfId="0" applyNumberFormat="1" applyFont="1" applyFill="1" applyBorder="1" applyAlignment="1">
      <x:alignment vertical="center" wrapText="1"/>
    </x:xf>
    <x:xf numFmtId="164" fontId="6" fillId="11" borderId="2" xfId="0" applyNumberFormat="1" applyFont="1" applyFill="1" applyBorder="1" applyAlignment="1">
      <x:alignment vertical="center" wrapText="1"/>
    </x:xf>
    <x:xf numFmtId="164" fontId="10" fillId="11" borderId="2" xfId="0" applyNumberFormat="1" applyFont="1" applyFill="1" applyBorder="1" applyAlignment="1">
      <x:alignment vertical="center" wrapText="1"/>
    </x:xf>
    <x:xf numFmtId="2" fontId="6" fillId="11" borderId="2" xfId="0" applyNumberFormat="1" applyFont="1" applyFill="1" applyBorder="1" applyAlignment="1">
      <x:alignment vertical="center" wrapText="1"/>
    </x:xf>
    <x:xf numFmtId="2" fontId="10" fillId="11" borderId="2" xfId="0" applyNumberFormat="1" applyFont="1" applyFill="1" applyBorder="1" applyAlignment="1">
      <x:alignment vertical="center" wrapText="1"/>
    </x:xf>
    <x:xf numFmtId="164" fontId="6" fillId="12" borderId="2" xfId="0" applyNumberFormat="1" applyFont="1" applyFill="1" applyBorder="1" applyAlignment="1">
      <x:alignment vertical="center" wrapText="1"/>
    </x:xf>
    <x:xf numFmtId="164" fontId="11" fillId="12" borderId="2" xfId="0" applyNumberFormat="1" applyFont="1" applyFill="1" applyBorder="1" applyAlignment="1">
      <x:alignment vertical="center" wrapText="1"/>
    </x:xf>
    <x:xf numFmtId="200" fontId="6" fillId="3" borderId="2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/>
    <x:xf numFmtId="201" fontId="10" fillId="11" borderId="2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3" fillId="11" borderId="0" xfId="0" applyNumberFormat="1" applyFont="1" applyFill="1" applyBorder="1"/>
    <x:xf numFmtId="0" fontId="14" fillId="12" borderId="0" xfId="0" applyNumberFormat="1" applyFont="1" applyFill="1" applyBorder="1"/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6" borderId="0" xfId="0" applyNumberFormat="1" applyFont="1" applyFill="1" applyBorder="1"/>
    <x:xf numFmtId="0" fontId="15" fillId="16" borderId="0" xfId="0" applyNumberFormat="1" applyFont="1" applyFill="1" applyBorder="1"/>
    <x:xf numFmtId="0" fontId="0" fillId="17" borderId="0" xfId="0" applyNumberFormat="1" applyFont="1" applyFill="1" applyBorder="1"/>
    <x:xf numFmtId="0" fontId="16" fillId="17" borderId="0" xfId="0" applyNumberFormat="1" applyFont="1" applyFill="1" applyBorder="1"/>
    <x:xf numFmtId="0" fontId="16" fillId="17" borderId="0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17" fillId="18" borderId="0" xfId="0" applyNumberFormat="1" applyFont="1" applyFill="1" applyBorder="1"/>
    <x:xf numFmtId="0" fontId="17" fillId="18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2" fontId="13" fillId="11" borderId="0" xfId="0" applyNumberFormat="1" applyFont="1" applyFill="1" applyBorder="1"/>
    <x:xf numFmtId="201" fontId="13" fillId="11" borderId="0" xfId="0" applyNumberFormat="1" applyFont="1" applyFill="1" applyBorder="1"/>
    <x:xf numFmtId="164" fontId="13" fillId="11" borderId="0" xfId="0" applyNumberFormat="1" applyFont="1" applyFill="1" applyBorder="1"/>
    <x:xf numFmtId="164" fontId="14" fillId="15" borderId="0" xfId="0" applyNumberFormat="1" applyFont="1" applyFill="1" applyBorder="1"/>
    <x:xf numFmtId="203" fontId="14" fillId="15" borderId="0" xfId="0" applyNumberFormat="1" applyFont="1" applyFill="1" applyBorder="1"/>
    <x:xf numFmtId="200" fontId="14" fillId="15" borderId="0" xfId="0" applyNumberFormat="1" applyFont="1" applyFill="1" applyBorder="1"/>
    <x:xf numFmtId="204" fontId="14" fillId="15" borderId="0" xfId="0" applyNumberFormat="1" applyFont="1" applyFill="1" applyBorder="1"/>
    <x:xf numFmtId="202" fontId="14" fillId="15" borderId="0" xfId="0" applyNumberFormat="1" applyFont="1" applyFill="1" applyBorder="1"/>
    <x:xf numFmtId="205" fontId="15" fillId="16" borderId="0" xfId="0" applyNumberFormat="1" applyFont="1" applyFill="1" applyBorder="1"/>
    <x:xf numFmtId="206" fontId="0" fillId="0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6" fillId="7" borderId="2" xfId="0" applyNumberFormat="1" applyFont="1" applyFill="1" applyBorder="1" applyAlignment="1">
      <x:alignment vertical="center" wrapText="1"/>
    </x:xf>
    <x:xf numFmtId="0" fontId="6" fillId="0" borderId="2" xfId="0" applyNumberFormat="1" applyFont="1" applyFill="1" applyBorder="1" applyAlignment="1">
      <x:alignment vertical="center" wrapText="1"/>
    </x:xf>
    <x:xf numFmtId="1" fontId="6" fillId="19" borderId="2" xfId="0" applyNumberFormat="1" applyFont="1" applyFill="1" applyBorder="1" applyAlignment="1">
      <x:alignment vertical="center" wrapText="1"/>
    </x:xf>
    <x:xf numFmtId="1" fontId="10" fillId="19" borderId="2" xfId="0" applyNumberFormat="1" applyFont="1" applyFill="1" applyBorder="1" applyAlignment="1">
      <x:alignment vertical="center" wrapText="1"/>
    </x:xf>
    <x:xf numFmtId="165" fontId="10" fillId="20" borderId="2" xfId="0" applyNumberFormat="1" applyFont="1" applyFill="1" applyBorder="1" applyAlignment="1">
      <x:alignment vertical="center" wrapText="1"/>
    </x:xf>
    <x:xf numFmtId="165" fontId="18" fillId="20" borderId="2" xfId="0" applyNumberFormat="1" applyFont="1" applyFill="1" applyBorder="1" applyAlignment="1">
      <x:alignment vertical="center" wrapText="1"/>
    </x:xf>
    <x:xf numFmtId="202" fontId="13" fillId="3" borderId="0" xfId="0" applyNumberFormat="1" applyFont="1" applyFill="1" applyBorder="1"/>
    <x:xf numFmtId="207" fontId="13" fillId="3" borderId="0" xfId="0" applyNumberFormat="1" applyFont="1" applyFill="1" applyBorder="1"/>
    <x:xf numFmtId="208" fontId="13" fillId="3" borderId="0" xfId="0" applyNumberFormat="1" applyFont="1" applyFill="1" applyBorder="1"/>
    <x:xf numFmtId="0" fontId="0" fillId="21" borderId="0" xfId="0" applyNumberFormat="1" applyFont="1" applyFill="1" applyBorder="1"/>
    <x:xf numFmtId="0" fontId="5" fillId="21" borderId="0" xfId="0" applyNumberFormat="1" applyFont="1" applyFill="1" applyBorder="1"/>
    <x:xf numFmtId="0" fontId="5" fillId="21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1" fontId="10" fillId="22" borderId="2" xfId="0" applyNumberFormat="1" applyFont="1" applyFill="1" applyBorder="1" applyAlignment="1">
      <x:alignment vertical="center" wrapText="1"/>
    </x:xf>
    <x:xf numFmtId="165" fontId="18" fillId="23" borderId="2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/>
    <x:xf numFmtId="0" fontId="5" fillId="24" borderId="0" xfId="0" applyNumberFormat="1" applyFont="1" applyFill="1" applyBorder="1"/>
    <x:xf numFmtId="0" fontId="5" fillId="24" borderId="0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vertical="center"/>
    </x:xf>
    <x:xf numFmtId="0" fontId="0" fillId="26" borderId="0" xfId="0" applyNumberFormat="1" applyFont="1" applyFill="1" applyBorder="1"/>
    <x:xf numFmtId="0" fontId="12" fillId="26" borderId="0" xfId="0" applyNumberFormat="1" applyFont="1" applyFill="1" applyBorder="1"/>
    <x:xf numFmtId="0" fontId="12" fillId="26" borderId="0" xfId="0" applyNumberFormat="1" applyFont="1" applyFill="1" applyBorder="1" applyAlignment="1">
      <x:alignment wrapText="1"/>
    </x:xf>
    <x:xf numFmtId="0" fontId="5" fillId="25" borderId="0" xfId="0" applyNumberFormat="1" applyFont="1" applyFill="1" applyBorder="1"/>
    <x:xf numFmtId="0" fontId="5" fillId="25" borderId="0" xfId="0" applyNumberFormat="1" applyFont="1" applyFill="1" applyBorder="1" applyAlignment="1">
      <x:alignment wrapText="1"/>
    </x:xf>
    <x:xf numFmtId="0" fontId="0" fillId="27" borderId="0" xfId="0" applyNumberFormat="1" applyFont="1" applyFill="1" applyBorder="1"/>
    <x:xf numFmtId="0" fontId="5" fillId="27" borderId="0" xfId="0" applyNumberFormat="1" applyFont="1" applyFill="1" applyBorder="1"/>
    <x:xf numFmtId="0" fontId="5" fillId="27" borderId="0" xfId="0" applyNumberFormat="1" applyFont="1" applyFill="1" applyBorder="1" applyAlignment="1">
      <x:alignment wrapText="1"/>
    </x:xf>
    <x:xf numFmtId="0" fontId="5" fillId="27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/>
    <x:xf numFmtId="0" fontId="14" fillId="28" borderId="0" xfId="0" applyNumberFormat="1" applyFont="1" applyFill="1" applyBorder="1"/>
    <x:xf numFmtId="0" fontId="14" fillId="28" borderId="0" xfId="0" applyNumberFormat="1" applyFont="1" applyFill="1" applyBorder="1" applyAlignment="1">
      <x:alignment wrapText="1"/>
    </x:xf>
    <x:xf numFmtId="0" fontId="14" fillId="28" borderId="0" xfId="0" applyNumberFormat="1" applyFont="1" applyFill="1" applyBorder="1" applyAlignment="1">
      <x:alignment vertical="center" wrapText="1"/>
    </x:xf>
    <x:xf numFmtId="0" fontId="14" fillId="29" borderId="0" xfId="0" applyNumberFormat="1" applyFont="1" applyFill="1" applyBorder="1" applyAlignment="1">
      <x:alignment vertical="center" wrapText="1"/>
    </x:xf>
    <x:xf numFmtId="0" fontId="19" fillId="29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 applyAlignment="1">
      <x:alignment vertical="center" wrapText="1"/>
    </x:xf>
    <x:xf numFmtId="0" fontId="14" fillId="30" borderId="0" xfId="0" applyNumberFormat="1" applyFont="1" applyFill="1" applyBorder="1" applyAlignment="1">
      <x:alignment vertical="center" wrapText="1"/>
    </x:xf>
    <x:xf numFmtId="0" fontId="21" fillId="30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/>
    <x:xf numFmtId="0" fontId="17" fillId="31" borderId="0" xfId="0" applyNumberFormat="1" applyFont="1" applyFill="1" applyBorder="1"/>
    <x:xf numFmtId="0" fontId="17" fillId="31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22" fillId="30" borderId="0" xfId="0" applyNumberFormat="1" applyFont="1" applyFill="1" applyBorder="1"/>
    <x:xf numFmtId="0" fontId="0" fillId="32" borderId="0" xfId="0" applyNumberFormat="1" applyFont="1" applyFill="1" applyBorder="1"/>
    <x:xf numFmtId="0" fontId="23" fillId="32" borderId="0" xfId="0" applyNumberFormat="1" applyFont="1" applyFill="1" applyBorder="1"/>
    <x:xf numFmtId="0" fontId="24" fillId="32" borderId="0" xfId="0" applyNumberFormat="1" applyFont="1" applyFill="1" applyBorder="1"/>
    <x:xf numFmtId="0" fontId="14" fillId="26" borderId="0" xfId="0" applyNumberFormat="1" applyFont="1" applyFill="1" applyBorder="1"/>
    <x:xf numFmtId="0" fontId="14" fillId="26" borderId="3" xfId="0" applyNumberFormat="1" applyFont="1" applyFill="1" applyBorder="1"/>
    <x:xf numFmtId="0" fontId="25" fillId="28" borderId="0" xfId="0" applyNumberFormat="1" applyFont="1" applyFill="1" applyBorder="1"/>
    <x:xf numFmtId="0" fontId="25" fillId="28" borderId="0" xfId="0" applyNumberFormat="1" applyFont="1" applyFill="1" applyBorder="1" applyAlignment="1">
      <x:alignment wrapText="1"/>
    </x:xf>
    <x:xf numFmtId="0" fontId="24" fillId="32" borderId="0" xfId="0" applyNumberFormat="1" applyFont="1" applyFill="1" applyBorder="1" applyAlignment="1">
      <x:alignment wrapText="1"/>
    </x:xf>
    <x:xf numFmtId="0" fontId="25" fillId="0" borderId="0" xfId="0" applyNumberFormat="1" applyFont="1" applyFill="1" applyBorder="1"/>
    <x:xf numFmtId="0" fontId="25" fillId="0" borderId="0" xfId="0" applyNumberFormat="1" applyFont="1" applyFill="1" applyBorder="1" applyAlignment="1">
      <x:alignment wrapText="1"/>
    </x:xf>
    <x:xf numFmtId="0" fontId="25" fillId="0" borderId="0" xfId="0" applyNumberFormat="1" applyFont="1" applyFill="1" applyBorder="1" applyAlignment="1">
      <x:alignment vertical="center" wrapText="1"/>
    </x:xf>
    <x:xf numFmtId="200" fontId="20" fillId="29" borderId="0" xfId="0" applyNumberFormat="1" applyFont="1" applyFill="1" applyBorder="1" applyAlignment="1">
      <x:alignment vertical="center" wrapText="1"/>
    </x:xf>
    <x:xf numFmtId="200" fontId="14" fillId="28" borderId="0" xfId="0" applyNumberFormat="1" applyFont="1" applyFill="1" applyBorder="1" applyAlignment="1">
      <x:alignment vertical="center" wrapText="1"/>
    </x:xf>
    <x:xf numFmtId="200" fontId="21" fillId="30" borderId="0" xfId="0" applyNumberFormat="1" applyFont="1" applyFill="1" applyBorder="1" applyAlignment="1">
      <x:alignment vertical="center" wrapText="1"/>
    </x:xf>
    <x:xf numFmtId="200" fontId="19" fillId="29" borderId="0" xfId="0" applyNumberFormat="1" applyFont="1" applyFill="1" applyBorder="1" applyAlignment="1">
      <x:alignment vertical="center" wrapText="1"/>
    </x:xf>
    <x:xf numFmtId="164" fontId="19" fillId="29" borderId="0" xfId="0" applyNumberFormat="1" applyFont="1" applyFill="1" applyBorder="1" applyAlignment="1">
      <x:alignment vertical="center" wrapText="1"/>
    </x:xf>
    <x:xf numFmtId="209" fontId="22" fillId="30" borderId="0" xfId="0" applyNumberFormat="1" applyFont="1" applyFill="1" applyBorder="1"/>
    <x:xf numFmtId="209" fontId="14" fillId="26" borderId="3" xfId="0" applyNumberFormat="1" applyFont="1" applyFill="1" applyBorder="1"/>
    <x:xf numFmtId="209" fontId="24" fillId="32" borderId="0" xfId="0" applyNumberFormat="1" applyFont="1" applyFill="1" applyBorder="1"/>
    <x:xf numFmtId="164" fontId="22" fillId="30" borderId="0" xfId="0" applyNumberFormat="1" applyFont="1" applyFill="1" applyBorder="1"/>
    <x:xf numFmtId="164" fontId="24" fillId="32" borderId="0" xfId="0" applyNumberFormat="1" applyFont="1" applyFill="1" applyBorder="1"/>
    <x:xf numFmtId="164" fontId="14" fillId="26" borderId="3" xfId="0" applyNumberFormat="1" applyFont="1" applyFill="1" applyBorder="1"/>
    <x:xf numFmtId="203" fontId="24" fillId="32" borderId="0" xfId="0" applyNumberFormat="1" applyFont="1" applyFill="1" applyBorder="1"/>
    <x:xf numFmtId="200" fontId="24" fillId="32" borderId="0" xfId="0" applyNumberFormat="1" applyFont="1" applyFill="1" applyBorder="1"/>
    <x:xf numFmtId="200" fontId="22" fillId="30" borderId="0" xfId="0" applyNumberFormat="1" applyFont="1" applyFill="1" applyBorder="1"/>
    <x:xf numFmtId="200" fontId="14" fillId="26" borderId="3" xfId="0" applyNumberFormat="1" applyFont="1" applyFill="1" applyBorder="1"/>
    <x:xf numFmtId="200" fontId="23" fillId="32" borderId="0" xfId="0" applyNumberFormat="1" applyFont="1" applyFill="1" applyBorder="1"/>
    <x:xf numFmtId="0" fontId="0" fillId="33" borderId="0" xfId="0" applyNumberFormat="1" applyFont="1" applyFill="1" applyBorder="1"/>
    <x:xf numFmtId="0" fontId="5" fillId="33" borderId="0" xfId="0" applyNumberFormat="1" applyFont="1" applyFill="1" applyBorder="1"/>
    <x:xf numFmtId="0" fontId="5" fillId="33" borderId="0" xfId="0" applyNumberFormat="1" applyFont="1" applyFill="1" applyBorder="1" applyAlignment="1">
      <x:alignment vertical="center"/>
    </x:xf>
    <x:xf numFmtId="0" fontId="0" fillId="34" borderId="0" xfId="0" applyNumberFormat="1" applyFont="1" applyFill="1" applyBorder="1"/>
    <x:xf numFmtId="0" fontId="26" fillId="34" borderId="0" xfId="0" applyNumberFormat="1" applyFont="1" applyFill="1" applyBorder="1"/>
    <x:xf numFmtId="0" fontId="26" fillId="34" borderId="0" xfId="0" applyNumberFormat="1" applyFont="1" applyFill="1" applyBorder="1" applyAlignment="1">
      <x:alignment wrapText="1"/>
    </x:xf>
    <x:xf numFmtId="0" fontId="26" fillId="34" borderId="0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/>
    <x:xf numFmtId="0" fontId="27" fillId="0" borderId="0" xfId="0" applyNumberFormat="1" applyFont="1" applyFill="1" applyBorder="1" applyAlignment="1">
      <x:alignment vertical="center"/>
    </x:xf>
    <x:xf numFmtId="0" fontId="27" fillId="35" borderId="0" xfId="0" applyNumberFormat="1" applyFont="1" applyFill="1" applyBorder="1" applyAlignment="1">
      <x:alignment vertical="center"/>
    </x:xf>
    <x:xf numFmtId="0" fontId="28" fillId="35" borderId="0" xfId="0" applyNumberFormat="1" applyFont="1" applyFill="1" applyBorder="1" applyAlignment="1">
      <x:alignment vertical="center"/>
    </x:xf>
    <x:xf numFmtId="0" fontId="27" fillId="36" borderId="0" xfId="0" applyNumberFormat="1" applyFont="1" applyFill="1" applyBorder="1" applyAlignment="1">
      <x:alignment vertical="center"/>
    </x:xf>
    <x:xf numFmtId="0" fontId="29" fillId="36" borderId="0" xfId="0" applyNumberFormat="1" applyFont="1" applyFill="1" applyBorder="1" applyAlignment="1">
      <x:alignment vertical="center"/>
    </x:xf>
    <x:xf numFmtId="0" fontId="29" fillId="36" borderId="0" xfId="0" applyNumberFormat="1" applyFont="1" applyFill="1" applyBorder="1" applyAlignment="1">
      <x:alignment vertical="center" wrapText="1"/>
    </x:xf>
    <x:xf numFmtId="0" fontId="27" fillId="33" borderId="0" xfId="0" applyNumberFormat="1" applyFont="1" applyFill="1" applyBorder="1" applyAlignment="1">
      <x:alignment vertical="center"/>
    </x:xf>
    <x:xf numFmtId="0" fontId="30" fillId="33" borderId="0" xfId="0" applyNumberFormat="1" applyFont="1" applyFill="1" applyBorder="1" applyAlignment="1">
      <x:alignment vertical="center"/>
    </x:xf>
    <x:xf numFmtId="0" fontId="27" fillId="37" borderId="0" xfId="0" applyNumberFormat="1" applyFont="1" applyFill="1" applyBorder="1" applyAlignment="1">
      <x:alignment vertical="center"/>
    </x:xf>
    <x:xf numFmtId="0" fontId="31" fillId="37" borderId="0" xfId="0" applyNumberFormat="1" applyFont="1" applyFill="1" applyBorder="1" applyAlignment="1">
      <x:alignment vertical="center"/>
    </x:xf>
    <x:xf numFmtId="0" fontId="31" fillId="37" borderId="0" xfId="0" applyNumberFormat="1" applyFont="1" applyFill="1" applyBorder="1" applyAlignment="1">
      <x:alignment vertical="center" wrapText="1"/>
    </x:xf>
    <x:xf numFmtId="0" fontId="31" fillId="37" borderId="0" xfId="0" applyNumberFormat="1" applyFont="1" applyFill="1" applyBorder="1" applyAlignment="1">
      <x:alignment horizontal="center" vertical="center" wrapText="1"/>
    </x:xf>
    <x:xf numFmtId="0" fontId="27" fillId="38" borderId="0" xfId="0" applyNumberFormat="1" applyFont="1" applyFill="1" applyBorder="1" applyAlignment="1">
      <x:alignment vertical="center"/>
    </x:xf>
    <x:xf numFmtId="0" fontId="32" fillId="38" borderId="0" xfId="0" applyNumberFormat="1" applyFont="1" applyFill="1" applyBorder="1" applyAlignment="1">
      <x:alignment vertical="center"/>
    </x:xf>
    <x:xf numFmtId="0" fontId="32" fillId="34" borderId="0" xfId="0" applyNumberFormat="1" applyFont="1" applyFill="1" applyBorder="1" applyAlignment="1">
      <x:alignment vertical="center"/>
    </x:xf>
    <x:xf numFmtId="0" fontId="27" fillId="39" borderId="0" xfId="0" applyNumberFormat="1" applyFont="1" applyFill="1" applyBorder="1" applyAlignment="1">
      <x:alignment vertical="center"/>
    </x:xf>
    <x:xf numFmtId="0" fontId="27" fillId="40" borderId="0" xfId="0" applyNumberFormat="1" applyFont="1" applyFill="1" applyBorder="1" applyAlignment="1">
      <x:alignment vertical="center"/>
    </x:xf>
    <x:xf numFmtId="0" fontId="33" fillId="40" borderId="0" xfId="0" applyNumberFormat="1" applyFont="1" applyFill="1" applyBorder="1" applyAlignment="1">
      <x:alignment vertical="center"/>
    </x:xf>
    <x:xf numFmtId="0" fontId="27" fillId="41" borderId="0" xfId="0" applyNumberFormat="1" applyFont="1" applyFill="1" applyBorder="1" applyAlignment="1">
      <x:alignment vertical="center"/>
    </x:xf>
    <x:xf numFmtId="0" fontId="27" fillId="41" borderId="0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 applyAlignment="1">
      <x:alignment vertical="center" wrapText="1"/>
    </x:xf>
    <x:xf numFmtId="0" fontId="27" fillId="42" borderId="0" xfId="0" applyNumberFormat="1" applyFont="1" applyFill="1" applyBorder="1" applyAlignment="1">
      <x:alignment vertical="center" wrapText="1"/>
    </x:xf>
    <x:xf numFmtId="0" fontId="27" fillId="43" borderId="0" xfId="0" applyNumberFormat="1" applyFont="1" applyFill="1" applyBorder="1" applyAlignment="1">
      <x:alignment vertical="center" wrapText="1"/>
    </x:xf>
    <x:xf numFmtId="0" fontId="27" fillId="44" borderId="0" xfId="0" applyNumberFormat="1" applyFont="1" applyFill="1" applyBorder="1" applyAlignment="1">
      <x:alignment vertical="center" wrapText="1"/>
    </x:xf>
    <x:xf numFmtId="0" fontId="34" fillId="40" borderId="0" xfId="0" applyNumberFormat="1" applyFont="1" applyFill="1" applyBorder="1" applyAlignment="1">
      <x:alignment vertical="center"/>
    </x:xf>
    <x:xf numFmtId="0" fontId="34" fillId="40" borderId="0" xfId="0" applyNumberFormat="1" applyFont="1" applyFill="1" applyBorder="1" applyAlignment="1">
      <x:alignment vertical="center" wrapText="1"/>
    </x:xf>
    <x:xf numFmtId="0" fontId="27" fillId="40" borderId="0" xfId="0" applyNumberFormat="1" applyFont="1" applyFill="1" applyBorder="1" applyAlignment="1">
      <x:alignment vertical="center" wrapText="1"/>
    </x:xf>
    <x:xf numFmtId="0" fontId="35" fillId="40" borderId="0" xfId="0" applyNumberFormat="1" applyFont="1" applyFill="1" applyBorder="1" applyAlignment="1">
      <x:alignment vertical="center" wrapText="1"/>
    </x:xf>
    <x:xf numFmtId="0" fontId="32" fillId="38" borderId="0" xfId="0" applyNumberFormat="1" applyFont="1" applyFill="1" applyBorder="1" applyAlignment="1">
      <x:alignment vertical="center" wrapText="1"/>
    </x:xf>
    <x:xf numFmtId="0" fontId="32" fillId="41" borderId="0" xfId="0" applyNumberFormat="1" applyFont="1" applyFill="1" applyBorder="1" applyAlignment="1">
      <x:alignment vertical="center" wrapText="1"/>
    </x:xf>
    <x:xf numFmtId="209" fontId="27" fillId="39" borderId="0" xfId="0" applyNumberFormat="1" applyFont="1" applyFill="1" applyBorder="1" applyAlignment="1">
      <x:alignment vertical="center"/>
    </x:xf>
    <x:xf numFmtId="164" fontId="27" fillId="39" borderId="0" xfId="0" applyNumberFormat="1" applyFont="1" applyFill="1" applyBorder="1" applyAlignment="1">
      <x:alignment vertical="center"/>
    </x:xf>
    <x:xf numFmtId="209" fontId="33" fillId="40" borderId="0" xfId="0" applyNumberFormat="1" applyFont="1" applyFill="1" applyBorder="1" applyAlignment="1">
      <x:alignment vertical="center"/>
    </x:xf>
    <x:xf numFmtId="164" fontId="32" fillId="34" borderId="0" xfId="0" applyNumberFormat="1" applyFont="1" applyFill="1" applyBorder="1" applyAlignment="1">
      <x:alignment vertical="center"/>
    </x:xf>
    <x:xf numFmtId="164" fontId="27" fillId="42" borderId="0" xfId="0" applyNumberFormat="1" applyFont="1" applyFill="1" applyBorder="1" applyAlignment="1">
      <x:alignment vertical="center" wrapText="1"/>
    </x:xf>
    <x:xf numFmtId="164" fontId="27" fillId="43" borderId="0" xfId="0" applyNumberFormat="1" applyFont="1" applyFill="1" applyBorder="1" applyAlignment="1">
      <x:alignment vertical="center" wrapText="1"/>
    </x:xf>
    <x:xf numFmtId="164" fontId="27" fillId="44" borderId="0" xfId="0" applyNumberFormat="1" applyFont="1" applyFill="1" applyBorder="1" applyAlignment="1">
      <x:alignment vertical="center" wrapText="1"/>
    </x:xf>
    <x:xf numFmtId="164" fontId="34" fillId="40" borderId="0" xfId="0" applyNumberFormat="1" applyFont="1" applyFill="1" applyBorder="1" applyAlignment="1">
      <x:alignment vertical="center" wrapText="1"/>
    </x:xf>
    <x:xf numFmtId="209" fontId="27" fillId="42" borderId="0" xfId="0" applyNumberFormat="1" applyFont="1" applyFill="1" applyBorder="1" applyAlignment="1">
      <x:alignment vertical="center" wrapText="1"/>
    </x:xf>
    <x:xf numFmtId="209" fontId="27" fillId="43" borderId="0" xfId="0" applyNumberFormat="1" applyFont="1" applyFill="1" applyBorder="1" applyAlignment="1">
      <x:alignment vertical="center" wrapText="1"/>
    </x:xf>
    <x:xf numFmtId="209" fontId="27" fillId="44" borderId="0" xfId="0" applyNumberFormat="1" applyFont="1" applyFill="1" applyBorder="1" applyAlignment="1">
      <x:alignment vertical="center" wrapText="1"/>
    </x:xf>
    <x:xf numFmtId="209" fontId="34" fillId="40" borderId="0" xfId="0" applyNumberFormat="1" applyFont="1" applyFill="1" applyBorder="1" applyAlignment="1">
      <x:alignment vertical="center" wrapText="1"/>
    </x:xf>
    <x:xf numFmtId="210" fontId="27" fillId="42" borderId="0" xfId="0" applyNumberFormat="1" applyFont="1" applyFill="1" applyBorder="1" applyAlignment="1">
      <x:alignment vertical="center" wrapText="1"/>
    </x:xf>
    <x:xf numFmtId="209" fontId="35" fillId="40" borderId="0" xfId="0" applyNumberFormat="1" applyFont="1" applyFill="1" applyBorder="1" applyAlignment="1">
      <x:alignment vertical="center" wrapText="1"/>
    </x:xf>
    <x:xf numFmtId="0" fontId="1" fillId="45" borderId="0" xfId="0" applyNumberFormat="1" applyFont="1" applyFill="1" applyBorder="1" applyAlignment="1">
      <x:alignment vertical="center"/>
    </x:xf>
    <x:xf numFmtId="0" fontId="2" fillId="46" borderId="0" xfId="0" applyNumberFormat="1" applyFont="1" applyFill="1" applyBorder="1" applyAlignment="1">
      <x:alignment vertical="center" wrapText="1"/>
    </x:xf>
    <x:xf numFmtId="0" fontId="36" fillId="46" borderId="0" xfId="0" applyNumberFormat="1" applyFont="1" applyFill="1" applyBorder="1" applyAlignment="1">
      <x:alignment vertical="center" wrapText="1"/>
    </x:xf>
    <x:xf numFmtId="0" fontId="3" fillId="47" borderId="1" xfId="0" applyNumberFormat="1" applyFont="1" applyFill="1" applyBorder="1" applyAlignment="1">
      <x:alignment horizontal="center" vertical="center"/>
    </x:xf>
    <x:xf numFmtId="0" fontId="3" fillId="47" borderId="1" xfId="0" applyNumberFormat="1" applyFont="1" applyFill="1" applyBorder="1" applyAlignment="1">
      <x:alignment horizontal="center" vertical="center" wrapText="1"/>
    </x:xf>
    <x:xf numFmtId="1" fontId="4" fillId="48" borderId="1" xfId="0" applyNumberFormat="1" applyFont="1" applyFill="1" applyBorder="1" applyAlignment="1">
      <x:alignment horizontal="center" vertical="center" wrapText="1"/>
    </x:xf>
    <x:xf numFmtId="0" fontId="4" fillId="48" borderId="1" xfId="0" applyNumberFormat="1" applyFont="1" applyFill="1" applyBorder="1" applyAlignment="1">
      <x:alignment horizontal="center" vertical="center" wrapText="1"/>
    </x:xf>
    <x:xf numFmtId="164" fontId="4" fillId="48" borderId="1" xfId="0" applyNumberFormat="1" applyFont="1" applyFill="1" applyBorder="1" applyAlignment="1">
      <x:alignment horizontal="center" vertical="center" wrapText="1"/>
    </x:xf>
    <x:xf numFmtId="165" fontId="4" fillId="48" borderId="1" xfId="0" applyNumberFormat="1" applyFont="1" applyFill="1" applyBorder="1" applyAlignment="1">
      <x:alignment horizontal="center" vertical="center" wrapText="1"/>
    </x:xf>
    <x:xf numFmtId="211" fontId="4" fillId="48" borderId="1" xfId="0" applyNumberFormat="1" applyFont="1" applyFill="1" applyBorder="1" applyAlignment="1">
      <x:alignment horizontal="center" vertical="center" wrapText="1"/>
    </x:xf>
    <x:xf numFmtId="209" fontId="4" fillId="48" borderId="1" xfId="0" applyNumberFormat="1" applyFont="1" applyFill="1" applyBorder="1" applyAlignment="1">
      <x:alignment horizontal="center" vertical="center" wrapText="1"/>
    </x:xf>
    <x:xf numFmtId="0" fontId="5" fillId="47" borderId="0" xfId="0" applyNumberFormat="1" applyFont="1" applyFill="1" applyBorder="1" applyAlignment="1">
      <x:alignment vertical="center"/>
    </x:xf>
    <x:xf numFmtId="0" fontId="3" fillId="49" borderId="2" xfId="0" applyNumberFormat="1" applyFont="1" applyFill="1" applyBorder="1" applyAlignment="1">
      <x:alignment horizontal="center" vertical="center" wrapText="1"/>
    </x:xf>
    <x:xf numFmtId="0" fontId="3" fillId="49" borderId="4" xfId="0" applyNumberFormat="1" applyFont="1" applyFill="1" applyBorder="1" applyAlignment="1">
      <x:alignment horizontal="center" vertical="center" wrapText="1"/>
    </x:xf>
    <x:xf numFmtId="165" fontId="10" fillId="46" borderId="2" xfId="0" applyNumberFormat="1" applyFont="1" applyFill="1" applyBorder="1" applyAlignment="1">
      <x:alignment vertical="center" wrapText="1"/>
    </x:xf>
    <x:xf numFmtId="1" fontId="10" fillId="46" borderId="2" xfId="0" applyNumberFormat="1" applyFont="1" applyFill="1" applyBorder="1" applyAlignment="1">
      <x:alignment vertical="center" wrapText="1"/>
    </x:xf>
    <x:xf numFmtId="164" fontId="11" fillId="46" borderId="2" xfId="0" applyNumberFormat="1" applyFont="1" applyFill="1" applyBorder="1" applyAlignment="1">
      <x:alignment vertical="center" wrapText="1"/>
    </x:xf>
    <x:xf numFmtId="164" fontId="10" fillId="46" borderId="2" xfId="0" applyNumberFormat="1" applyFont="1" applyFill="1" applyBorder="1" applyAlignment="1">
      <x:alignment vertical="center" wrapText="1"/>
    </x:xf>
    <x:xf numFmtId="165" fontId="37" fillId="46" borderId="2" xfId="0" applyNumberFormat="1" applyFont="1" applyFill="1" applyBorder="1" applyAlignment="1">
      <x:alignment vertical="center" wrapText="1"/>
    </x:xf>
    <x:xf numFmtId="1" fontId="37" fillId="46" borderId="2" xfId="0" applyNumberFormat="1" applyFont="1" applyFill="1" applyBorder="1" applyAlignment="1">
      <x:alignment vertical="center" wrapText="1"/>
    </x:xf>
    <x:xf numFmtId="164" fontId="38" fillId="46" borderId="2" xfId="0" applyNumberFormat="1" applyFont="1" applyFill="1" applyBorder="1" applyAlignment="1">
      <x:alignment vertical="center" wrapText="1"/>
    </x:xf>
    <x:xf numFmtId="164" fontId="37" fillId="46" borderId="2" xfId="0" applyNumberFormat="1" applyFont="1" applyFill="1" applyBorder="1" applyAlignment="1">
      <x:alignment vertical="center" wrapText="1"/>
    </x:xf>
    <x:xf numFmtId="164" fontId="39" fillId="12" borderId="2" xfId="0" applyNumberFormat="1" applyFont="1" applyFill="1" applyBorder="1" applyAlignment="1">
      <x:alignment vertical="center" wrapText="1"/>
    </x:xf>
    <x:xf numFmtId="165" fontId="40" fillId="3" borderId="2" xfId="0" applyNumberFormat="1" applyFont="1" applyFill="1" applyBorder="1" applyAlignment="1">
      <x:alignment vertical="center" wrapText="1"/>
    </x:xf>
    <x:xf numFmtId="0" fontId="41" fillId="0" borderId="0" xfId="0" applyNumberFormat="1" applyFont="1" applyFill="1" applyBorder="1"/>
    <x:xf numFmtId="209" fontId="37" fillId="46" borderId="2" xfId="0" applyNumberFormat="1" applyFont="1" applyFill="1" applyBorder="1" applyAlignment="1">
      <x:alignment vertical="center" wrapText="1"/>
    </x:xf>
    <x:xf numFmtId="207" fontId="37" fillId="46" borderId="2" xfId="0" applyNumberFormat="1" applyFont="1" applyFill="1" applyBorder="1" applyAlignment="1">
      <x:alignment vertical="center" wrapText="1"/>
    </x:xf>
    <x:xf numFmtId="209" fontId="38" fillId="46" borderId="2" xfId="0" applyNumberFormat="1" applyFont="1" applyFill="1" applyBorder="1" applyAlignment="1">
      <x:alignment vertical="center" wrapText="1"/>
    </x:xf>
    <x:xf numFmtId="212" fontId="37" fillId="46" borderId="2" xfId="0" applyNumberFormat="1" applyFont="1" applyFill="1" applyBorder="1" applyAlignment="1">
      <x:alignment vertical="center" wrapText="1"/>
    </x:xf>
    <x:xf numFmtId="209" fontId="39" fillId="12" borderId="2" xfId="0" applyNumberFormat="1" applyFont="1" applyFill="1" applyBorder="1" applyAlignment="1">
      <x:alignment vertical="center" wrapText="1"/>
    </x:xf>
    <x:xf numFmtId="209" fontId="40" fillId="3" borderId="2" xfId="0" applyNumberFormat="1" applyFont="1" applyFill="1" applyBorder="1" applyAlignment="1">
      <x:alignment vertical="center" wrapText="1"/>
    </x:xf>
    <x:xf numFmtId="209" fontId="41" fillId="0" borderId="0" xfId="0" applyNumberFormat="1" applyFont="1" applyFill="1" applyBorder="1"/>
    <x:xf numFmtId="0" fontId="0" fillId="49" borderId="0" xfId="0" applyNumberFormat="1" applyFont="1" applyFill="1" applyBorder="1"/>
    <x:xf numFmtId="0" fontId="5" fillId="49" borderId="0" xfId="0" applyNumberFormat="1" applyFont="1" applyFill="1" applyBorder="1"/>
    <x:xf numFmtId="0" fontId="5" fillId="49" borderId="4" xfId="0" applyNumberFormat="1" applyFont="1" applyFill="1" applyBorder="1"/>
    <x:xf numFmtId="0" fontId="5" fillId="49" borderId="4" xfId="0" applyNumberFormat="1" applyFont="1" applyFill="1" applyBorder="1" applyAlignment="1">
      <x:alignment wrapText="1"/>
    </x:xf>
    <x:xf numFmtId="0" fontId="5" fillId="49" borderId="4" xfId="0" applyNumberFormat="1" applyFont="1" applyFill="1" applyBorder="1" applyAlignment="1">
      <x:alignment horizontal="center" wrapText="1"/>
    </x:xf>
    <x:xf numFmtId="0" fontId="5" fillId="49" borderId="4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6" fillId="46" borderId="2" xfId="0" applyNumberFormat="1" applyFont="1" applyFill="1" applyBorder="1" applyAlignment="1">
      <x:alignment vertical="center" wrapText="1"/>
    </x:xf>
    <x:xf numFmtId="0" fontId="22" fillId="46" borderId="0" xfId="0" applyNumberFormat="1" applyFont="1" applyFill="1" applyBorder="1"/>
    <x:xf numFmtId="0" fontId="37" fillId="46" borderId="2" xfId="0" applyNumberFormat="1" applyFont="1" applyFill="1" applyBorder="1" applyAlignment="1">
      <x:alignment vertical="center" wrapText="1"/>
    </x:xf>
    <x:xf numFmtId="165" fontId="40" fillId="15" borderId="2" xfId="0" applyNumberFormat="1" applyFont="1" applyFill="1" applyBorder="1" applyAlignment="1">
      <x:alignment vertical="center" wrapText="1"/>
    </x:xf>
    <x:xf numFmtId="201" fontId="40" fillId="3" borderId="2" xfId="0" applyNumberFormat="1" applyFont="1" applyFill="1" applyBorder="1" applyAlignment="1">
      <x:alignment vertical="center" wrapText="1"/>
    </x:xf>
    <x:xf numFmtId="1" fontId="40" fillId="3" borderId="2" xfId="0" applyNumberFormat="1" applyFont="1" applyFill="1" applyBorder="1" applyAlignment="1">
      <x:alignment vertical="center" wrapText="1"/>
    </x:xf>
    <x:xf numFmtId="0" fontId="40" fillId="0" borderId="2" xfId="0" applyNumberFormat="1" applyFont="1" applyFill="1" applyBorder="1" applyAlignment="1">
      <x:alignment vertical="center" wrapText="1"/>
    </x:xf>
    <x:xf numFmtId="0" fontId="39" fillId="9" borderId="0" xfId="0" applyNumberFormat="1" applyFont="1" applyFill="1" applyBorder="1" applyAlignment="1">
      <x:alignment vertical="center" wrapText="1"/>
    </x:xf>
    <x:xf numFmtId="200" fontId="6" fillId="48" borderId="2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/>
    <x:xf numFmtId="0" fontId="7" fillId="48" borderId="0" xfId="0" applyNumberFormat="1" applyFont="1" applyFill="1" applyBorder="1" applyAlignment="1">
      <x:alignment vertical="center" wrapText="1"/>
    </x:xf>
    <x:xf numFmtId="0" fontId="39" fillId="48" borderId="0" xfId="0" applyNumberFormat="1" applyFont="1" applyFill="1" applyBorder="1" applyAlignment="1">
      <x:alignment vertical="center" wrapText="1"/>
    </x:xf>
    <x:xf numFmtId="200" fontId="42" fillId="48" borderId="2" xfId="0" applyNumberFormat="1" applyFont="1" applyFill="1" applyBorder="1" applyAlignment="1">
      <x:alignment vertical="center" wrapText="1"/>
    </x:xf>
    <x:xf numFmtId="0" fontId="43" fillId="48" borderId="0" xfId="0" applyNumberFormat="1" applyFont="1" applyFill="1" applyBorder="1"/>
    <x:xf numFmtId="0" fontId="42" fillId="48" borderId="0" xfId="0" applyNumberFormat="1" applyFont="1" applyFill="1" applyBorder="1" applyAlignment="1">
      <x:alignment vertical="center" wrapText="1"/>
    </x:xf>
    <x:xf numFmtId="209" fontId="22" fillId="46" borderId="0" xfId="0" applyNumberFormat="1" applyFont="1" applyFill="1" applyBorder="1"/>
    <x:xf numFmtId="209" fontId="40" fillId="15" borderId="2" xfId="0" applyNumberFormat="1" applyFont="1" applyFill="1" applyBorder="1" applyAlignment="1">
      <x:alignment vertical="center" wrapText="1"/>
    </x:xf>
    <x:xf numFmtId="209" fontId="40" fillId="0" borderId="2" xfId="0" applyNumberFormat="1" applyFont="1" applyFill="1" applyBorder="1" applyAlignment="1">
      <x:alignment vertical="center" wrapText="1"/>
    </x:xf>
    <x:xf numFmtId="209" fontId="43" fillId="48" borderId="0" xfId="0" applyNumberFormat="1" applyFont="1" applyFill="1" applyBorder="1"/>
    <x:xf numFmtId="209" fontId="42" fillId="48" borderId="0" xfId="0" applyNumberFormat="1" applyFont="1" applyFill="1" applyBorder="1" applyAlignment="1">
      <x:alignment vertical="center" wrapText="1"/>
    </x:xf>
    <x:xf numFmtId="200" fontId="40" fillId="3" borderId="2" xfId="0" applyNumberFormat="1" applyFont="1" applyFill="1" applyBorder="1" applyAlignment="1">
      <x:alignment vertical="center" wrapText="1"/>
    </x:xf>
    <x:xf numFmtId="200" fontId="40" fillId="0" borderId="2" xfId="0" applyNumberFormat="1" applyFont="1" applyFill="1" applyBorder="1" applyAlignment="1">
      <x:alignment vertical="center" wrapText="1"/>
    </x:xf>
    <x:xf numFmtId="200" fontId="41" fillId="0" borderId="0" xfId="0" applyNumberFormat="1" applyFont="1" applyFill="1" applyBorder="1"/>
    <x:xf numFmtId="200" fontId="42" fillId="48" borderId="0" xfId="0" applyNumberFormat="1" applyFont="1" applyFill="1" applyBorder="1" applyAlignment="1">
      <x:alignment vertical="center" wrapText="1"/>
    </x:xf>
    <x:xf numFmtId="211" fontId="40" fillId="3" borderId="2" xfId="0" applyNumberFormat="1" applyFont="1" applyFill="1" applyBorder="1" applyAlignment="1">
      <x:alignment vertical="center" wrapText="1"/>
    </x:xf>
    <x:xf numFmtId="211" fontId="40" fillId="0" borderId="2" xfId="0" applyNumberFormat="1" applyFont="1" applyFill="1" applyBorder="1" applyAlignment="1">
      <x:alignment vertical="center" wrapText="1"/>
    </x:xf>
    <x:xf numFmtId="211" fontId="41" fillId="0" borderId="0" xfId="0" applyNumberFormat="1" applyFont="1" applyFill="1" applyBorder="1"/>
    <x:xf numFmtId="211" fontId="42" fillId="48" borderId="0" xfId="0" applyNumberFormat="1" applyFont="1" applyFill="1" applyBorder="1" applyAlignment="1">
      <x:alignment vertical="center" wrapText="1"/>
    </x:xf>
    <x:xf numFmtId="164" fontId="40" fillId="3" borderId="2" xfId="0" applyNumberFormat="1" applyFont="1" applyFill="1" applyBorder="1" applyAlignment="1">
      <x:alignment vertical="center" wrapText="1"/>
    </x:xf>
    <x:xf numFmtId="164" fontId="41" fillId="0" borderId="0" xfId="0" applyNumberFormat="1" applyFont="1" applyFill="1" applyBorder="1"/>
    <x:xf numFmtId="164" fontId="42" fillId="48" borderId="0" xfId="0" applyNumberFormat="1" applyFont="1" applyFill="1" applyBorder="1" applyAlignment="1">
      <x:alignment vertical="center" wrapText="1"/>
    </x:xf>
    <x:xf numFmtId="2" fontId="40" fillId="3" borderId="2" xfId="0" applyNumberFormat="1" applyFont="1" applyFill="1" applyBorder="1" applyAlignment="1">
      <x:alignment vertical="center" wrapText="1"/>
    </x:xf>
    <x:xf numFmtId="0" fontId="40" fillId="7" borderId="2" xfId="0" applyNumberFormat="1" applyFont="1" applyFill="1" applyBorder="1" applyAlignment="1">
      <x:alignment vertical="center" wrapText="1"/>
    </x:xf>
    <x:xf numFmtId="1" fontId="40" fillId="7" borderId="2" xfId="0" applyNumberFormat="1" applyFont="1" applyFill="1" applyBorder="1" applyAlignment="1">
      <x:alignment vertical="center" wrapText="1"/>
    </x:xf>
    <x:xf numFmtId="165" fontId="40" fillId="7" borderId="2" xfId="0" applyNumberFormat="1" applyFont="1" applyFill="1" applyBorder="1" applyAlignment="1">
      <x:alignment vertical="center" wrapText="1"/>
    </x:xf>
    <x:xf numFmtId="0" fontId="41" fillId="48" borderId="0" xfId="0" applyNumberFormat="1" applyFont="1" applyFill="1" applyBorder="1"/>
    <x:xf numFmtId="207" fontId="40" fillId="3" borderId="2" xfId="0" applyNumberFormat="1" applyFont="1" applyFill="1" applyBorder="1" applyAlignment="1">
      <x:alignment vertical="center" wrapText="1"/>
    </x:xf>
    <x:xf numFmtId="207" fontId="40" fillId="7" borderId="2" xfId="0" applyNumberFormat="1" applyFont="1" applyFill="1" applyBorder="1" applyAlignment="1">
      <x:alignment vertical="center" wrapText="1"/>
    </x:xf>
    <x:xf numFmtId="207" fontId="43" fillId="48" borderId="0" xfId="0" applyNumberFormat="1" applyFont="1" applyFill="1" applyBorder="1"/>
    <x:xf numFmtId="211" fontId="40" fillId="7" borderId="2" xfId="0" applyNumberFormat="1" applyFont="1" applyFill="1" applyBorder="1" applyAlignment="1">
      <x:alignment vertical="center" wrapText="1"/>
    </x:xf>
    <x:xf numFmtId="211" fontId="43" fillId="48" borderId="0" xfId="0" applyNumberFormat="1" applyFont="1" applyFill="1" applyBorder="1"/>
    <x:xf numFmtId="164" fontId="40" fillId="7" borderId="2" xfId="0" applyNumberFormat="1" applyFont="1" applyFill="1" applyBorder="1" applyAlignment="1">
      <x:alignment vertical="center" wrapText="1"/>
    </x:xf>
    <x:xf numFmtId="164" fontId="43" fillId="48" borderId="0" xfId="0" applyNumberFormat="1" applyFont="1" applyFill="1" applyBorder="1"/>
    <x:xf numFmtId="165" fontId="40" fillId="5" borderId="2" xfId="0" applyNumberFormat="1" applyFont="1" applyFill="1" applyBorder="1" applyAlignment="1">
      <x:alignment vertical="center" wrapText="1"/>
    </x:xf>
    <x:xf numFmtId="1" fontId="40" fillId="5" borderId="2" xfId="0" applyNumberFormat="1" applyFont="1" applyFill="1" applyBorder="1" applyAlignment="1">
      <x:alignment vertical="center" wrapText="1"/>
    </x:xf>
    <x:xf numFmtId="0" fontId="6" fillId="48" borderId="2" xfId="0" applyNumberFormat="1" applyFont="1" applyFill="1" applyBorder="1" applyAlignment="1">
      <x:alignment vertical="center" wrapText="1"/>
    </x:xf>
    <x:xf numFmtId="165" fontId="40" fillId="48" borderId="2" xfId="0" applyNumberFormat="1" applyFont="1" applyFill="1" applyBorder="1" applyAlignment="1">
      <x:alignment vertical="center" wrapText="1"/>
    </x:xf>
    <x:xf numFmtId="1" fontId="40" fillId="48" borderId="2" xfId="0" applyNumberFormat="1" applyFont="1" applyFill="1" applyBorder="1" applyAlignment="1">
      <x:alignment vertical="center" wrapText="1"/>
    </x:xf>
    <x:xf numFmtId="10" fontId="6" fillId="48" borderId="2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/>
    <x:xf numFmtId="0" fontId="41" fillId="50" borderId="0" xfId="0" applyNumberFormat="1" applyFont="1" applyFill="1" applyBorder="1"/>
    <x:xf numFmtId="0" fontId="0" fillId="50" borderId="0" xfId="0" applyNumberFormat="1" applyFont="1" applyFill="1" applyBorder="1" applyAlignment="1">
      <x:alignment wrapText="1"/>
    </x:xf>
    <x:xf numFmtId="211" fontId="40" fillId="5" borderId="2" xfId="0" applyNumberFormat="1" applyFont="1" applyFill="1" applyBorder="1" applyAlignment="1">
      <x:alignment vertical="center" wrapText="1"/>
    </x:xf>
    <x:xf numFmtId="211" fontId="40" fillId="48" borderId="2" xfId="0" applyNumberFormat="1" applyFont="1" applyFill="1" applyBorder="1" applyAlignment="1">
      <x:alignment vertical="center" wrapText="1"/>
    </x:xf>
    <x:xf numFmtId="211" fontId="41" fillId="50" borderId="0" xfId="0" applyNumberFormat="1" applyFont="1" applyFill="1" applyBorder="1"/>
    <x:xf numFmtId="210" fontId="40" fillId="7" borderId="2" xfId="0" applyNumberFormat="1" applyFont="1" applyFill="1" applyBorder="1" applyAlignment="1">
      <x:alignment vertical="center" wrapText="1"/>
    </x:xf>
    <x:xf numFmtId="210" fontId="40" fillId="5" borderId="2" xfId="0" applyNumberFormat="1" applyFont="1" applyFill="1" applyBorder="1" applyAlignment="1">
      <x:alignment vertical="center" wrapText="1"/>
    </x:xf>
    <x:xf numFmtId="210" fontId="40" fillId="48" borderId="2" xfId="0" applyNumberFormat="1" applyFont="1" applyFill="1" applyBorder="1" applyAlignment="1">
      <x:alignment vertical="center" wrapText="1"/>
    </x:xf>
    <x:xf numFmtId="210" fontId="41" fillId="50" borderId="0" xfId="0" applyNumberFormat="1" applyFont="1" applyFill="1" applyBorder="1"/>
    <x:xf numFmtId="209" fontId="40" fillId="7" borderId="2" xfId="0" applyNumberFormat="1" applyFont="1" applyFill="1" applyBorder="1" applyAlignment="1">
      <x:alignment vertical="center" wrapText="1"/>
    </x:xf>
    <x:xf numFmtId="209" fontId="40" fillId="5" borderId="2" xfId="0" applyNumberFormat="1" applyFont="1" applyFill="1" applyBorder="1" applyAlignment="1">
      <x:alignment vertical="center" wrapText="1"/>
    </x:xf>
    <x:xf numFmtId="209" fontId="40" fillId="48" borderId="2" xfId="0" applyNumberFormat="1" applyFont="1" applyFill="1" applyBorder="1" applyAlignment="1">
      <x:alignment vertical="center" wrapText="1"/>
    </x:xf>
    <x:xf numFmtId="209" fontId="41" fillId="50" borderId="0" xfId="0" applyNumberFormat="1" applyFont="1" applyFill="1" applyBorder="1"/>
    <x:xf numFmtId="165" fontId="40" fillId="0" borderId="2" xfId="0" applyNumberFormat="1" applyFont="1" applyFill="1" applyBorder="1" applyAlignment="1">
      <x:alignment vertical="center" wrapText="1"/>
    </x:xf>
    <x:xf numFmtId="164" fontId="40" fillId="0" borderId="2" xfId="0" applyNumberFormat="1" applyFont="1" applyFill="1" applyBorder="1" applyAlignment="1">
      <x:alignment vertical="center" wrapText="1"/>
    </x:xf>
    <x:xf numFmtId="1" fontId="6" fillId="45" borderId="2" xfId="0" applyNumberFormat="1" applyFont="1" applyFill="1" applyBorder="1" applyAlignment="1">
      <x:alignment vertical="center" wrapText="1"/>
    </x:xf>
    <x:xf numFmtId="1" fontId="40" fillId="45" borderId="2" xfId="0" applyNumberFormat="1" applyFont="1" applyFill="1" applyBorder="1" applyAlignment="1">
      <x:alignment vertical="center" wrapText="1"/>
    </x:xf>
    <x:xf numFmtId="165" fontId="40" fillId="45" borderId="2" xfId="0" applyNumberFormat="1" applyFont="1" applyFill="1" applyBorder="1" applyAlignment="1">
      <x:alignment vertical="center" wrapText="1"/>
    </x:xf>
    <x:xf numFmtId="164" fontId="40" fillId="45" borderId="2" xfId="0" applyNumberFormat="1" applyFont="1" applyFill="1" applyBorder="1" applyAlignment="1">
      <x:alignment vertical="center" wrapText="1"/>
    </x:xf>
    <x:xf numFmtId="1" fontId="3" fillId="45" borderId="2" xfId="0" applyNumberFormat="1" applyFont="1" applyFill="1" applyBorder="1" applyAlignment="1">
      <x:alignment vertical="center" wrapText="1"/>
    </x:xf>
    <x:xf numFmtId="165" fontId="3" fillId="45" borderId="2" xfId="0" applyNumberFormat="1" applyFont="1" applyFill="1" applyBorder="1" applyAlignment="1">
      <x:alignment vertical="center" wrapText="1"/>
    </x:xf>
    <x:xf numFmtId="164" fontId="3" fillId="45" borderId="2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7" fillId="10" borderId="0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6" fillId="10" borderId="0" xfId="0" applyNumberFormat="1" applyFont="1" applyFill="1" applyBorder="1" applyAlignment="1">
      <x:alignment vertical="center" wrapText="1"/>
    </x:xf>
    <x:xf numFmtId="0" fontId="8" fillId="50" borderId="0" xfId="0" applyNumberFormat="1" applyFont="1" applyFill="1" applyBorder="1" applyAlignment="1">
      <x:alignment vertical="center" wrapText="1"/>
    </x:xf>
    <x:xf numFmtId="0" fontId="44" fillId="50" borderId="0" xfId="0" applyNumberFormat="1" applyFont="1" applyFill="1" applyBorder="1" applyAlignment="1">
      <x:alignment vertical="center" wrapText="1"/>
    </x:xf>
    <x:xf numFmtId="0" fontId="12" fillId="46" borderId="0" xfId="0" applyNumberFormat="1" applyFont="1" applyFill="1" applyBorder="1" applyAlignment="1">
      <x:alignment wrapText="1"/>
    </x:xf>
    <x:xf numFmtId="0" fontId="45" fillId="46" borderId="0" xfId="0" applyNumberFormat="1" applyFont="1" applyFill="1" applyBorder="1" applyAlignment="1">
      <x:alignment wrapText="1"/>
    </x:xf>
    <x:xf numFmtId="0" fontId="5" fillId="49" borderId="0" xfId="0" applyNumberFormat="1" applyFont="1" applyFill="1" applyBorder="1" applyAlignment="1">
      <x:alignment wrapText="1"/>
    </x:xf>
    <x:xf numFmtId="202" fontId="46" fillId="3" borderId="0" xfId="0" applyNumberFormat="1" applyFont="1" applyFill="1" applyBorder="1"/>
    <x:xf numFmtId="201" fontId="46" fillId="3" borderId="0" xfId="0" applyNumberFormat="1" applyFont="1" applyFill="1" applyBorder="1"/>
    <x:xf numFmtId="164" fontId="46" fillId="3" borderId="0" xfId="0" applyNumberFormat="1" applyFont="1" applyFill="1" applyBorder="1"/>
    <x:xf numFmtId="164" fontId="47" fillId="3" borderId="0" xfId="0" applyNumberFormat="1" applyFont="1" applyFill="1" applyBorder="1"/>
    <x:xf numFmtId="207" fontId="47" fillId="3" borderId="0" xfId="0" applyNumberFormat="1" applyFont="1" applyFill="1" applyBorder="1"/>
    <x:xf numFmtId="209" fontId="46" fillId="3" borderId="0" xfId="0" applyNumberFormat="1" applyFont="1" applyFill="1" applyBorder="1"/>
    <x:xf numFmtId="212" fontId="46" fillId="3" borderId="0" xfId="0" applyNumberFormat="1" applyFont="1" applyFill="1" applyBorder="1"/>
    <x:xf numFmtId="209" fontId="47" fillId="3" borderId="0" xfId="0" applyNumberFormat="1" applyFont="1" applyFill="1" applyBorder="1"/>
    <x:xf numFmtId="211" fontId="46" fillId="3" borderId="0" xfId="0" applyNumberFormat="1" applyFont="1" applyFill="1" applyBorder="1"/>
    <x:xf numFmtId="200" fontId="47" fillId="3" borderId="0" xfId="0" applyNumberFormat="1" applyFont="1" applyFill="1" applyBorder="1"/>
    <x:xf numFmtId="0" fontId="23" fillId="0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/>
    <x:xf numFmtId="164" fontId="47" fillId="15" borderId="0" xfId="0" applyNumberFormat="1" applyFont="1" applyFill="1" applyBorder="1"/>
    <x:xf numFmtId="203" fontId="47" fillId="15" borderId="0" xfId="0" applyNumberFormat="1" applyFont="1" applyFill="1" applyBorder="1"/>
    <x:xf numFmtId="200" fontId="47" fillId="15" borderId="0" xfId="0" applyNumberFormat="1" applyFont="1" applyFill="1" applyBorder="1"/>
    <x:xf numFmtId="204" fontId="47" fillId="15" borderId="0" xfId="0" applyNumberFormat="1" applyFont="1" applyFill="1" applyBorder="1"/>
    <x:xf numFmtId="0" fontId="0" fillId="48" borderId="0" xfId="0" applyNumberFormat="1" applyFont="1" applyFill="1" applyBorder="1" applyAlignment="1">
      <x:alignment wrapText="1"/>
    </x:xf>
    <x:xf numFmtId="204" fontId="47" fillId="48" borderId="0" xfId="0" applyNumberFormat="1" applyFont="1" applyFill="1" applyBorder="1"/>
    <x:xf numFmtId="0" fontId="43" fillId="48" borderId="0" xfId="0" applyNumberFormat="1" applyFont="1" applyFill="1" applyBorder="1" applyAlignment="1">
      <x:alignment wrapText="1"/>
    </x:xf>
    <x:xf numFmtId="204" fontId="43" fillId="48" borderId="0" xfId="0" applyNumberFormat="1" applyFont="1" applyFill="1" applyBorder="1"/>
    <x:xf numFmtId="200" fontId="23" fillId="0" borderId="0" xfId="0" applyNumberFormat="1" applyFont="1" applyFill="1" applyBorder="1" applyAlignment="1">
      <x:alignment wrapText="1"/>
    </x:xf>
    <x:xf numFmtId="211" fontId="47" fillId="15" borderId="0" xfId="0" applyNumberFormat="1" applyFont="1" applyFill="1" applyBorder="1"/>
    <x:xf numFmtId="164" fontId="23" fillId="0" borderId="0" xfId="0" applyNumberFormat="1" applyFont="1" applyFill="1" applyBorder="1"/>
    <x:xf numFmtId="0" fontId="0" fillId="49" borderId="0" xfId="0" applyNumberFormat="1" applyFont="1" applyFill="1" applyBorder="1" applyAlignment="1">
      <x:alignment wrapText="1"/>
    </x:xf>
    <x:xf numFmtId="208" fontId="13" fillId="49" borderId="0" xfId="0" applyNumberFormat="1" applyFont="1" applyFill="1" applyBorder="1"/>
    <x:xf numFmtId="208" fontId="5" fillId="49" borderId="0" xfId="0" applyNumberFormat="1" applyFont="1" applyFill="1" applyBorder="1"/>
    <x:xf numFmtId="208" fontId="5" fillId="49" borderId="4" xfId="0" applyNumberFormat="1" applyFont="1" applyFill="1" applyBorder="1"/>
    <x:xf numFmtId="208" fontId="5" fillId="49" borderId="4" xfId="0" applyNumberFormat="1" applyFont="1" applyFill="1" applyBorder="1" applyAlignment="1">
      <x:alignment wrapText="1"/>
    </x:xf>
    <x:xf numFmtId="208" fontId="5" fillId="49" borderId="4" xfId="0" applyNumberFormat="1" applyFont="1" applyFill="1" applyBorder="1" applyAlignment="1">
      <x:alignment horizontal="center" wrapText="1"/>
    </x:xf>
    <x:xf numFmtId="208" fontId="5" fillId="49" borderId="4" xfId="0" applyNumberFormat="1" applyFont="1" applyFill="1" applyBorder="1" applyAlignment="1">
      <x:alignment horizontal="center" vertical="center" wrapText="1"/>
    </x:xf>
    <x:xf numFmtId="202" fontId="47" fillId="3" borderId="0" xfId="0" applyNumberFormat="1" applyFont="1" applyFill="1" applyBorder="1"/>
    <x:xf numFmtId="202" fontId="47" fillId="48" borderId="0" xfId="0" applyNumberFormat="1" applyFont="1" applyFill="1" applyBorder="1"/>
    <x:xf numFmtId="202" fontId="43" fillId="48" borderId="0" xfId="0" applyNumberFormat="1" applyFont="1" applyFill="1" applyBorder="1"/>
    <x:xf numFmtId="202" fontId="47" fillId="50" borderId="0" xfId="0" applyNumberFormat="1" applyFont="1" applyFill="1" applyBorder="1"/>
    <x:xf numFmtId="209" fontId="47" fillId="50" borderId="0" xfId="0" applyNumberFormat="1" applyFont="1" applyFill="1" applyBorder="1"/>
    <x:xf numFmtId="211" fontId="47" fillId="3" borderId="0" xfId="0" applyNumberFormat="1" applyFont="1" applyFill="1" applyBorder="1"/>
    <x:xf numFmtId="202" fontId="14" fillId="50" borderId="0" xfId="0" applyNumberFormat="1" applyFont="1" applyFill="1" applyBorder="1"/>
    <x:xf numFmtId="0" fontId="48" fillId="50" borderId="0" xfId="0" applyNumberFormat="1" applyFont="1" applyFill="1" applyBorder="1" applyAlignment="1">
      <x:alignment wrapText="1"/>
    </x:xf>
    <x:xf numFmtId="202" fontId="48" fillId="50" borderId="0" xfId="0" applyNumberFormat="1" applyFont="1" applyFill="1" applyBorder="1"/>
    <x:xf numFmtId="0" fontId="48" fillId="50" borderId="0" xfId="0" applyNumberFormat="1" applyFont="1" applyFill="1" applyBorder="1"/>
    <x:xf numFmtId="204" fontId="14" fillId="15" borderId="0" xfId="0" applyNumberFormat="1" applyFont="1" applyFill="1" applyBorder="1" applyAlignment="1">
      <x:alignment wrapText="1"/>
    </x:xf>
    <x:xf numFmtId="205" fontId="15" fillId="16" borderId="0" xfId="0" applyNumberFormat="1" applyFont="1" applyFill="1" applyBorder="1" applyAlignment="1">
      <x:alignment wrapText="1"/>
    </x:xf>
    <x:xf numFmtId="205" fontId="23" fillId="0" borderId="0" xfId="0" applyNumberFormat="1" applyFont="1" applyFill="1" applyBorder="1"/>
    <x:xf numFmtId="205" fontId="41" fillId="0" borderId="0" xfId="0" applyNumberFormat="1" applyFont="1" applyFill="1" applyBorder="1"/>
    <x:xf numFmtId="204" fontId="41" fillId="0" borderId="0" xfId="0" applyNumberFormat="1" applyFont="1" applyFill="1" applyBorder="1"/>
    <x:xf numFmtId="209" fontId="23" fillId="0" borderId="0" xfId="0" applyNumberFormat="1" applyFont="1" applyFill="1" applyBorder="1"/>
    <x:xf numFmtId="209" fontId="0" fillId="0" borderId="0" xfId="0" applyNumberFormat="1" applyFont="1" applyFill="1" applyBorder="1"/>
    <x:xf numFmtId="0" fontId="26" fillId="46" borderId="0" xfId="0" applyNumberFormat="1" applyFont="1" applyFill="1" applyBorder="1" applyAlignment="1">
      <x:alignment vertical="center" wrapText="1"/>
    </x:xf>
    <x:xf numFmtId="0" fontId="17" fillId="51" borderId="0" xfId="0" applyNumberFormat="1" applyFont="1" applyFill="1" applyBorder="1" applyAlignment="1">
      <x:alignment wrapText="1"/>
    </x:xf>
    <x:xf numFmtId="0" fontId="49" fillId="51" borderId="0" xfId="0" applyNumberFormat="1" applyFont="1" applyFill="1" applyBorder="1" applyAlignment="1">
      <x:alignment wrapText="1"/>
    </x:xf>
    <x:xf numFmtId="0" fontId="14" fillId="46" borderId="0" xfId="0" applyNumberFormat="1" applyFont="1" applyFill="1" applyBorder="1" applyAlignment="1">
      <x:alignment vertical="center" wrapText="1"/>
    </x:xf>
    <x:xf numFmtId="200" fontId="20" fillId="46" borderId="0" xfId="0" applyNumberFormat="1" applyFont="1" applyFill="1" applyBorder="1" applyAlignment="1">
      <x:alignment vertical="center" wrapText="1"/>
    </x:xf>
    <x:xf numFmtId="200" fontId="14" fillId="46" borderId="0" xfId="0" applyNumberFormat="1" applyFont="1" applyFill="1" applyBorder="1" applyAlignment="1">
      <x:alignment vertical="center" wrapText="1"/>
    </x:xf>
    <x:xf numFmtId="200" fontId="21" fillId="46" borderId="0" xfId="0" applyNumberFormat="1" applyFont="1" applyFill="1" applyBorder="1" applyAlignment="1">
      <x:alignment vertical="center" wrapText="1"/>
    </x:xf>
    <x:xf numFmtId="200" fontId="19" fillId="46" borderId="0" xfId="0" applyNumberFormat="1" applyFont="1" applyFill="1" applyBorder="1" applyAlignment="1">
      <x:alignment vertical="center" wrapText="1"/>
    </x:xf>
    <x:xf numFmtId="164" fontId="19" fillId="46" borderId="0" xfId="0" applyNumberFormat="1" applyFont="1" applyFill="1" applyBorder="1" applyAlignment="1">
      <x:alignment vertical="center" wrapText="1"/>
    </x:xf>
    <x:xf numFmtId="0" fontId="19" fillId="46" borderId="0" xfId="0" applyNumberFormat="1" applyFont="1" applyFill="1" applyBorder="1" applyAlignment="1">
      <x:alignment vertical="center" wrapText="1"/>
    </x:xf>
    <x:xf numFmtId="164" fontId="20" fillId="46" borderId="0" xfId="0" applyNumberFormat="1" applyFont="1" applyFill="1" applyBorder="1" applyAlignment="1">
      <x:alignment vertical="center" wrapText="1"/>
    </x:xf>
    <x:xf numFmtId="0" fontId="20" fillId="46" borderId="0" xfId="0" applyNumberFormat="1" applyFont="1" applyFill="1" applyBorder="1" applyAlignment="1">
      <x:alignment vertical="center" wrapText="1"/>
    </x:xf>
    <x:xf numFmtId="211" fontId="20" fillId="46" borderId="0" xfId="0" applyNumberFormat="1" applyFont="1" applyFill="1" applyBorder="1" applyAlignment="1">
      <x:alignment vertical="center" wrapText="1"/>
    </x:xf>
    <x:xf numFmtId="211" fontId="14" fillId="46" borderId="0" xfId="0" applyNumberFormat="1" applyFont="1" applyFill="1" applyBorder="1" applyAlignment="1">
      <x:alignment vertical="center" wrapText="1"/>
    </x:xf>
    <x:xf numFmtId="0" fontId="5" fillId="47" borderId="0" xfId="0" applyNumberFormat="1" applyFont="1" applyFill="1" applyBorder="1" applyAlignment="1">
      <x:alignment wrapText="1"/>
    </x:xf>
    <x:xf numFmtId="0" fontId="5" fillId="47" borderId="0" xfId="0" applyNumberFormat="1" applyFont="1" applyFill="1" applyBorder="1" applyAlignment="1">
      <x:alignment vertical="center" wrapText="1"/>
    </x:xf>
    <x:xf numFmtId="0" fontId="5" fillId="49" borderId="0" xfId="0" applyNumberFormat="1" applyFont="1" applyFill="1" applyBorder="1" applyAlignment="1">
      <x:alignment vertical="center" wrapText="1"/>
    </x:xf>
    <x:xf numFmtId="0" fontId="5" fillId="49" borderId="4" xfId="0" applyNumberFormat="1" applyFont="1" applyFill="1" applyBorder="1" applyAlignment="1">
      <x:alignment vertical="center" wrapText="1"/>
    </x:xf>
    <x:xf numFmtId="0" fontId="23" fillId="15" borderId="0" xfId="0" applyNumberFormat="1" applyFont="1" applyFill="1" applyBorder="1"/>
    <x:xf numFmtId="0" fontId="23" fillId="3" borderId="0" xfId="0" applyNumberFormat="1" applyFont="1" applyFill="1" applyBorder="1"/>
    <x:xf numFmtId="209" fontId="23" fillId="3" borderId="0" xfId="0" applyNumberFormat="1" applyFont="1" applyFill="1" applyBorder="1"/>
    <x:xf numFmtId="164" fontId="23" fillId="3" borderId="0" xfId="0" applyNumberFormat="1" applyFont="1" applyFill="1" applyBorder="1"/>
    <x:xf numFmtId="209" fontId="41" fillId="15" borderId="0" xfId="0" applyNumberFormat="1" applyFont="1" applyFill="1" applyBorder="1"/>
    <x:xf numFmtId="164" fontId="41" fillId="3" borderId="0" xfId="0" applyNumberFormat="1" applyFont="1" applyFill="1" applyBorder="1"/>
    <x:xf numFmtId="209" fontId="47" fillId="12" borderId="3" xfId="0" applyNumberFormat="1" applyFont="1" applyFill="1" applyBorder="1"/>
    <x:xf numFmtId="164" fontId="47" fillId="12" borderId="3" xfId="0" applyNumberFormat="1" applyFont="1" applyFill="1" applyBorder="1"/>
    <x:xf numFmtId="164" fontId="41" fillId="15" borderId="0" xfId="0" applyNumberFormat="1" applyFont="1" applyFill="1" applyBorder="1"/>
    <x:xf numFmtId="203" fontId="41" fillId="15" borderId="0" xfId="0" applyNumberFormat="1" applyFont="1" applyFill="1" applyBorder="1"/>
    <x:xf numFmtId="0" fontId="47" fillId="12" borderId="3" xfId="0" applyNumberFormat="1" applyFont="1" applyFill="1" applyBorder="1"/>
    <x:xf numFmtId="0" fontId="14" fillId="48" borderId="3" xfId="0" applyNumberFormat="1" applyFont="1" applyFill="1" applyBorder="1"/>
    <x:xf numFmtId="209" fontId="14" fillId="48" borderId="3" xfId="0" applyNumberFormat="1" applyFont="1" applyFill="1" applyBorder="1"/>
    <x:xf numFmtId="209" fontId="47" fillId="48" borderId="3" xfId="0" applyNumberFormat="1" applyFont="1" applyFill="1" applyBorder="1"/>
    <x:xf numFmtId="164" fontId="47" fillId="48" borderId="3" xfId="0" applyNumberFormat="1" applyFont="1" applyFill="1" applyBorder="1"/>
    <x:xf numFmtId="164" fontId="14" fillId="48" borderId="3" xfId="0" applyNumberFormat="1" applyFont="1" applyFill="1" applyBorder="1"/>
    <x:xf numFmtId="0" fontId="47" fillId="48" borderId="3" xfId="0" applyNumberFormat="1" applyFont="1" applyFill="1" applyBorder="1"/>
    <x:xf numFmtId="0" fontId="43" fillId="48" borderId="3" xfId="0" applyNumberFormat="1" applyFont="1" applyFill="1" applyBorder="1"/>
    <x:xf numFmtId="209" fontId="43" fillId="48" borderId="3" xfId="0" applyNumberFormat="1" applyFont="1" applyFill="1" applyBorder="1"/>
    <x:xf numFmtId="164" fontId="43" fillId="48" borderId="3" xfId="0" applyNumberFormat="1" applyFont="1" applyFill="1" applyBorder="1"/>
    <x:xf numFmtId="207" fontId="23" fillId="15" borderId="0" xfId="0" applyNumberFormat="1" applyFont="1" applyFill="1" applyBorder="1"/>
    <x:xf numFmtId="207" fontId="43" fillId="48" borderId="3" xfId="0" applyNumberFormat="1" applyFont="1" applyFill="1" applyBorder="1"/>
    <x:xf numFmtId="212" fontId="23" fillId="3" borderId="0" xfId="0" applyNumberFormat="1" applyFont="1" applyFill="1" applyBorder="1"/>
    <x:xf numFmtId="212" fontId="43" fillId="48" borderId="3" xfId="0" applyNumberFormat="1" applyFont="1" applyFill="1" applyBorder="1"/>
    <x:xf numFmtId="211" fontId="41" fillId="15" borderId="0" xfId="0" applyNumberFormat="1" applyFont="1" applyFill="1" applyBorder="1"/>
    <x:xf numFmtId="211" fontId="41" fillId="3" borderId="0" xfId="0" applyNumberFormat="1" applyFont="1" applyFill="1" applyBorder="1"/>
    <x:xf numFmtId="211" fontId="23" fillId="3" borderId="0" xfId="0" applyNumberFormat="1" applyFont="1" applyFill="1" applyBorder="1"/>
    <x:xf numFmtId="211" fontId="43" fillId="48" borderId="3" xfId="0" applyNumberFormat="1" applyFont="1" applyFill="1" applyBorder="1"/>
    <x:xf numFmtId="200" fontId="23" fillId="15" borderId="0" xfId="0" applyNumberFormat="1" applyFont="1" applyFill="1" applyBorder="1"/>
    <x:xf numFmtId="200" fontId="23" fillId="3" borderId="0" xfId="0" applyNumberFormat="1" applyFont="1" applyFill="1" applyBorder="1"/>
    <x:xf numFmtId="200" fontId="41" fillId="15" borderId="0" xfId="0" applyNumberFormat="1" applyFont="1" applyFill="1" applyBorder="1"/>
    <x:xf numFmtId="200" fontId="47" fillId="12" borderId="3" xfId="0" applyNumberFormat="1" applyFont="1" applyFill="1" applyBorder="1"/>
    <x:xf numFmtId="0" fontId="41" fillId="15" borderId="0" xfId="0" applyNumberFormat="1" applyFont="1" applyFill="1" applyBorder="1"/>
    <x:xf numFmtId="200" fontId="14" fillId="48" borderId="3" xfId="0" applyNumberFormat="1" applyFont="1" applyFill="1" applyBorder="1"/>
    <x:xf numFmtId="200" fontId="47" fillId="48" borderId="3" xfId="0" applyNumberFormat="1" applyFont="1" applyFill="1" applyBorder="1"/>
    <x:xf numFmtId="200" fontId="43" fillId="48" borderId="3" xfId="0" applyNumberFormat="1" applyFont="1" applyFill="1" applyBorder="1"/>
    <x:xf numFmtId="211" fontId="23" fillId="15" borderId="0" xfId="0" applyNumberFormat="1" applyFont="1" applyFill="1" applyBorder="1"/>
    <x:xf numFmtId="164" fontId="23" fillId="15" borderId="0" xfId="0" applyNumberFormat="1" applyFont="1" applyFill="1" applyBorder="1"/>
    <x:xf numFmtId="203" fontId="23" fillId="15" borderId="0" xfId="0" applyNumberFormat="1" applyFont="1" applyFill="1" applyBorder="1"/>
    <x:xf numFmtId="209" fontId="23" fillId="15" borderId="0" xfId="0" applyNumberFormat="1" applyFont="1" applyFill="1" applyBorder="1"/>
    <x:xf numFmtId="200" fontId="23" fillId="0" borderId="0" xfId="0" applyNumberFormat="1" applyFont="1" applyFill="1" applyBorder="1"/>
    <x:xf numFmtId="0" fontId="25" fillId="52" borderId="0" xfId="0" applyNumberFormat="1" applyFont="1" applyFill="1" applyBorder="1" applyAlignment="1">
      <x:alignment wrapText="1"/>
    </x:xf>
    <x:xf numFmtId="0" fontId="45" fillId="52" borderId="0" xfId="0" applyNumberFormat="1" applyFont="1" applyFill="1" applyBorder="1" applyAlignment="1">
      <x:alignment wrapText="1"/>
    </x:xf>
    <x:xf numFmtId="0" fontId="47" fillId="13" borderId="0" xfId="0" applyNumberFormat="1" applyFont="1" applyFill="1" applyBorder="1"/>
    <x:xf numFmtId="0" fontId="5" fillId="45" borderId="0" xfId="0" applyNumberFormat="1" applyFont="1" applyFill="1" applyBorder="1"/>
    <x:xf numFmtId="0" fontId="47" fillId="45" borderId="0" xfId="0" applyNumberFormat="1" applyFont="1" applyFill="1" applyBorder="1"/>
    <x:xf numFmtId="0" fontId="28" fillId="45" borderId="0" xfId="0" applyNumberFormat="1" applyFont="1" applyFill="1" applyBorder="1" applyAlignment="1">
      <x:alignment vertical="center"/>
    </x:xf>
    <x:xf numFmtId="0" fontId="29" fillId="46" borderId="0" xfId="0" applyNumberFormat="1" applyFont="1" applyFill="1" applyBorder="1" applyAlignment="1">
      <x:alignment vertical="center" wrapText="1"/>
    </x:xf>
    <x:xf numFmtId="0" fontId="50" fillId="46" borderId="0" xfId="0" applyNumberFormat="1" applyFont="1" applyFill="1" applyBorder="1" applyAlignment="1">
      <x:alignment vertical="center" wrapText="1"/>
    </x:xf>
    <x:xf numFmtId="0" fontId="30" fillId="47" borderId="0" xfId="0" applyNumberFormat="1" applyFont="1" applyFill="1" applyBorder="1" applyAlignment="1">
      <x:alignment vertical="center"/>
    </x:xf>
    <x:xf numFmtId="164" fontId="51" fillId="34" borderId="0" xfId="0" applyNumberFormat="1" applyFont="1" applyFill="1" applyBorder="1" applyAlignment="1">
      <x:alignment vertical="center"/>
    </x:xf>
    <x:xf numFmtId="0" fontId="31" fillId="49" borderId="0" xfId="0" applyNumberFormat="1" applyFont="1" applyFill="1" applyBorder="1" applyAlignment="1">
      <x:alignment horizontal="center" vertical="center" wrapText="1"/>
    </x:xf>
    <x:xf numFmtId="0" fontId="31" fillId="49" borderId="4" xfId="0" applyNumberFormat="1" applyFont="1" applyFill="1" applyBorder="1" applyAlignment="1">
      <x:alignment horizontal="center" vertical="center" wrapText="1"/>
    </x:xf>
    <x:xf numFmtId="209" fontId="52" fillId="39" borderId="0" xfId="0" applyNumberFormat="1" applyFont="1" applyFill="1" applyBorder="1" applyAlignment="1">
      <x:alignment vertical="center"/>
    </x:xf>
    <x:xf numFmtId="164" fontId="52" fillId="39" borderId="0" xfId="0" applyNumberFormat="1" applyFont="1" applyFill="1" applyBorder="1" applyAlignment="1">
      <x:alignment vertical="center"/>
    </x:xf>
    <x:xf numFmtId="209" fontId="53" fillId="5" borderId="0" xfId="0" applyNumberFormat="1" applyFont="1" applyFill="1" applyBorder="1" applyAlignment="1">
      <x:alignment vertical="center"/>
    </x:xf>
    <x:xf numFmtId="209" fontId="53" fillId="48" borderId="0" xfId="0" applyNumberFormat="1" applyFont="1" applyFill="1" applyBorder="1" applyAlignment="1">
      <x:alignment vertical="center"/>
    </x:xf>
    <x:xf numFmtId="209" fontId="33" fillId="48" borderId="0" xfId="0" applyNumberFormat="1" applyFont="1" applyFill="1" applyBorder="1" applyAlignment="1">
      <x:alignment vertical="center"/>
    </x:xf>
    <x:xf numFmtId="0" fontId="27" fillId="51" borderId="0" xfId="0" applyNumberFormat="1" applyFont="1" applyFill="1" applyBorder="1" applyAlignment="1">
      <x:alignment vertical="center" wrapText="1"/>
    </x:xf>
    <x:xf numFmtId="210" fontId="52" fillId="39" borderId="0" xfId="0" applyNumberFormat="1" applyFont="1" applyFill="1" applyBorder="1" applyAlignment="1">
      <x:alignment vertical="center"/>
    </x:xf>
    <x:xf numFmtId="164" fontId="27" fillId="46" borderId="0" xfId="0" applyNumberFormat="1" applyFont="1" applyFill="1" applyBorder="1" applyAlignment="1">
      <x:alignment vertical="center" wrapText="1"/>
    </x:xf>
    <x:xf numFmtId="164" fontId="54" fillId="46" borderId="0" xfId="0" applyNumberFormat="1" applyFont="1" applyFill="1" applyBorder="1" applyAlignment="1">
      <x:alignment vertical="center" wrapText="1"/>
    </x:xf>
    <x:xf numFmtId="209" fontId="55" fillId="42" borderId="0" xfId="0" applyNumberFormat="1" applyFont="1" applyFill="1" applyBorder="1" applyAlignment="1">
      <x:alignment vertical="center" wrapText="1"/>
    </x:xf>
    <x:xf numFmtId="164" fontId="55" fillId="42" borderId="0" xfId="0" applyNumberFormat="1" applyFont="1" applyFill="1" applyBorder="1" applyAlignment="1">
      <x:alignment vertical="center" wrapText="1"/>
    </x:xf>
    <x:xf numFmtId="209" fontId="55" fillId="43" borderId="0" xfId="0" applyNumberFormat="1" applyFont="1" applyFill="1" applyBorder="1" applyAlignment="1">
      <x:alignment vertical="center" wrapText="1"/>
    </x:xf>
    <x:xf numFmtId="164" fontId="55" fillId="43" borderId="0" xfId="0" applyNumberFormat="1" applyFont="1" applyFill="1" applyBorder="1" applyAlignment="1">
      <x:alignment vertical="center" wrapText="1"/>
    </x:xf>
    <x:xf numFmtId="209" fontId="55" fillId="44" borderId="0" xfId="0" applyNumberFormat="1" applyFont="1" applyFill="1" applyBorder="1" applyAlignment="1">
      <x:alignment vertical="center" wrapText="1"/>
    </x:xf>
    <x:xf numFmtId="164" fontId="55" fillId="44" borderId="0" xfId="0" applyNumberFormat="1" applyFont="1" applyFill="1" applyBorder="1" applyAlignment="1">
      <x:alignment vertical="center" wrapText="1"/>
    </x:xf>
    <x:xf numFmtId="209" fontId="56" fillId="5" borderId="0" xfId="0" applyNumberFormat="1" applyFont="1" applyFill="1" applyBorder="1" applyAlignment="1">
      <x:alignment vertical="center" wrapText="1"/>
    </x:xf>
    <x:xf numFmtId="164" fontId="56" fillId="5" borderId="0" xfId="0" applyNumberFormat="1" applyFont="1" applyFill="1" applyBorder="1" applyAlignment="1">
      <x:alignment vertical="center" wrapText="1"/>
    </x:xf>
    <x:xf numFmtId="0" fontId="34" fillId="48" borderId="0" xfId="0" applyNumberFormat="1" applyFont="1" applyFill="1" applyBorder="1" applyAlignment="1">
      <x:alignment vertical="center" wrapText="1"/>
    </x:xf>
    <x:xf numFmtId="164" fontId="34" fillId="48" borderId="0" xfId="0" applyNumberFormat="1" applyFont="1" applyFill="1" applyBorder="1" applyAlignment="1">
      <x:alignment vertical="center" wrapText="1"/>
    </x:xf>
    <x:xf numFmtId="209" fontId="56" fillId="48" borderId="0" xfId="0" applyNumberFormat="1" applyFont="1" applyFill="1" applyBorder="1" applyAlignment="1">
      <x:alignment vertical="center" wrapText="1"/>
    </x:xf>
    <x:xf numFmtId="164" fontId="56" fillId="48" borderId="0" xfId="0" applyNumberFormat="1" applyFont="1" applyFill="1" applyBorder="1" applyAlignment="1">
      <x:alignment vertical="center" wrapText="1"/>
    </x:xf>
    <x:xf numFmtId="209" fontId="34" fillId="48" borderId="0" xfId="0" applyNumberFormat="1" applyFont="1" applyFill="1" applyBorder="1" applyAlignment="1">
      <x:alignment vertical="center" wrapText="1"/>
    </x:xf>
    <x:xf numFmtId="210" fontId="55" fillId="42" borderId="0" xfId="0" applyNumberFormat="1" applyFont="1" applyFill="1" applyBorder="1" applyAlignment="1">
      <x:alignment vertical="center" wrapText="1"/>
    </x:xf>
    <x:xf numFmtId="210" fontId="55" fillId="43" borderId="0" xfId="0" applyNumberFormat="1" applyFont="1" applyFill="1" applyBorder="1" applyAlignment="1">
      <x:alignment vertical="center" wrapText="1"/>
    </x:xf>
    <x:xf numFmtId="210" fontId="55" fillId="44" borderId="0" xfId="0" applyNumberFormat="1" applyFont="1" applyFill="1" applyBorder="1" applyAlignment="1">
      <x:alignment vertical="center" wrapText="1"/>
    </x:xf>
    <x:xf numFmtId="210" fontId="34" fillId="48" borderId="0" xfId="0" applyNumberFormat="1" applyFont="1" applyFill="1" applyBorder="1" applyAlignment="1">
      <x:alignment vertical="center" wrapText="1"/>
    </x:xf>
    <x:xf numFmtId="209" fontId="52" fillId="42" borderId="0" xfId="0" applyNumberFormat="1" applyFont="1" applyFill="1" applyBorder="1" applyAlignment="1">
      <x:alignment vertical="center" wrapText="1"/>
    </x:xf>
    <x:xf numFmtId="210" fontId="52" fillId="42" borderId="0" xfId="0" applyNumberFormat="1" applyFont="1" applyFill="1" applyBorder="1" applyAlignment="1">
      <x:alignment vertical="center" wrapText="1"/>
    </x:xf>
    <x:xf numFmtId="209" fontId="57" fillId="5" borderId="0" xfId="0" applyNumberFormat="1" applyFont="1" applyFill="1" applyBorder="1" applyAlignment="1">
      <x:alignment vertical="center" wrapText="1"/>
    </x:xf>
    <x:xf numFmtId="209" fontId="51" fillId="5" borderId="0" xfId="0" applyNumberFormat="1" applyFont="1" applyFill="1" applyBorder="1" applyAlignment="1">
      <x:alignment vertical="center" wrapText="1"/>
    </x:xf>
    <x:xf numFmtId="0" fontId="51" fillId="8" borderId="0" xfId="0" applyNumberFormat="1" applyFont="1" applyFill="1" applyBorder="1" applyAlignment="1">
      <x:alignment vertical="center" wrapText="1"/>
    </x:xf>
    <x:xf numFmtId="209" fontId="57" fillId="48" borderId="0" xfId="0" applyNumberFormat="1" applyFont="1" applyFill="1" applyBorder="1" applyAlignment="1">
      <x:alignment vertical="center" wrapText="1"/>
    </x:xf>
    <x:xf numFmtId="209" fontId="35" fillId="48" borderId="0" xfId="0" applyNumberFormat="1" applyFont="1" applyFill="1" applyBorder="1" applyAlignment="1">
      <x:alignment vertical="center" wrapText="1"/>
    </x:xf>
    <x:xf numFmtId="209" fontId="51" fillId="48" borderId="0" xfId="0" applyNumberFormat="1" applyFont="1" applyFill="1" applyBorder="1" applyAlignment="1">
      <x:alignment vertical="center" wrapText="1"/>
    </x:xf>
    <x:xf numFmtId="0" fontId="32" fillId="48" borderId="0" xfId="0" applyNumberFormat="1" applyFont="1" applyFill="1" applyBorder="1" applyAlignment="1">
      <x:alignment vertical="center" wrapText="1"/>
    </x:xf>
    <x:xf numFmtId="0" fontId="51" fillId="48" borderId="0" xfId="0" applyNumberFormat="1" applyFont="1" applyFill="1" applyBorder="1" applyAlignment="1">
      <x:alignment vertical="center" wrapText="1"/>
    </x:xf>
    <x:xf numFmtId="0" fontId="32" fillId="50" borderId="0" xfId="0" applyNumberFormat="1" applyFont="1" applyFill="1" applyBorder="1" applyAlignment="1">
      <x:alignment vertical="center" wrapText="1"/>
    </x:xf>
    <x:xf numFmtId="0" fontId="51" fillId="50" borderId="0" xfId="0" applyNumberFormat="1" applyFont="1" applyFill="1" applyBorder="1" applyAlignment="1">
      <x:alignment vertical="center" wrapText="1"/>
    </x:xf>
    <x:xf numFmtId="0" fontId="58" fillId="50" borderId="0" xfId="0" applyNumberFormat="1" applyFont="1" applyFill="1" applyBorder="1" applyAlignment="1">
      <x:alignment vertical="center" wrapText="1"/>
    </x:xf>
    <x:xf numFmtId="0" fontId="34" fillId="5" borderId="0" xfId="0" applyNumberFormat="1" applyFont="1" applyFill="1" applyBorder="1" applyAlignment="1">
      <x:alignment vertical="center" wrapText="1"/>
    </x:xf>
    <x:xf numFmtId="0" fontId="32" fillId="8" borderId="0" xfId="0" applyNumberFormat="1" applyFont="1" applyFill="1" applyBorder="1" applyAlignment="1">
      <x:alignment vertical="center" wrapText="1"/>
    </x:xf>
    <x:xf numFmtId="209" fontId="58" fillId="50" borderId="0" xfId="0" applyNumberFormat="1" applyFont="1" applyFill="1" applyBorder="1" applyAlignment="1">
      <x:alignment vertical="center" wrapText="1"/>
    </x:xf>
    <x:xf numFmtId="0" fontId="32" fillId="51" borderId="0" xfId="0" applyNumberFormat="1" applyFont="1" applyFill="1" applyBorder="1" applyAlignment="1">
      <x:alignment vertical="center" wrapText="1"/>
    </x:xf>
    <x:xf numFmtId="0" fontId="59" fillId="51" borderId="0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5" fillId="47" borderId="0" xfId="0" applyNumberFormat="1" applyFont="1" applyFill="1" applyBorder="1"/>
    <x:xf numFmtId="0" fontId="32" fillId="47" borderId="0" xfId="0" applyNumberFormat="1" applyFont="1" applyFill="1" applyBorder="1" applyAlignment="1">
      <x:alignment vertical="center"/>
    </x:xf>
    <x:xf numFmtId="164" fontId="51" fillId="47" borderId="0" xfId="0" applyNumberFormat="1" applyFont="1" applyFill="1" applyBorder="1" applyAlignment="1">
      <x:alignment vertical="center"/>
    </x:xf>
    <x:xf numFmtId="164" fontId="30" fillId="47" borderId="0" xfId="0" applyNumberFormat="1" applyFont="1" applyFill="1" applyBorder="1" applyAlignment="1">
      <x:alignment vertical="center"/>
    </x:xf>
    <x:xf numFmtId="200" fontId="6" fillId="53" borderId="2" xfId="0" applyNumberFormat="1" applyFont="1" applyFill="1" applyBorder="1" applyAlignment="1">
      <x:alignment vertical="center" wrapText="1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 applyAlignment="1">
      <x:alignment vertical="center" wrapText="1"/>
    </x:xf>
    <x:xf numFmtId="164" fontId="6" fillId="53" borderId="2" xfId="0" applyNumberFormat="1" applyFont="1" applyFill="1" applyBorder="1" applyAlignment="1">
      <x:alignment vertical="center" wrapText="1"/>
    </x:xf>
    <x:xf numFmtId="164" fontId="0" fillId="53" borderId="0" xfId="0" applyNumberFormat="1" applyFont="1" applyFill="1" applyBorder="1"/>
    <x:xf numFmtId="0" fontId="16" fillId="53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200" fontId="24" fillId="15" borderId="0" xfId="0" applyNumberFormat="1" applyFont="1" applyFill="1" applyBorder="1" applyAlignment="1">
      <x:alignment wrapText="1"/>
    </x:xf>
    <x:xf numFmtId="0" fontId="41" fillId="15" borderId="0" xfId="0" applyNumberFormat="1" applyFont="1" applyFill="1" applyBorder="1" applyAlignment="1">
      <x:alignment wrapText="1"/>
    </x:xf>
    <x:xf numFmtId="200" fontId="43" fillId="48" borderId="3" xfId="0" applyNumberFormat="1" applyFont="1" applyFill="1" applyBorder="1" applyAlignment="1">
      <x:alignment wrapText="1"/>
    </x:xf>
    <x:xf numFmtId="0" fontId="43" fillId="48" borderId="3" xfId="0" applyNumberFormat="1" applyFont="1" applyFill="1" applyBorder="1" applyAlignment="1">
      <x:alignment wrapText="1"/>
    </x:xf>
    <x:xf numFmtId="0" fontId="1" fillId="54" borderId="0" xfId="0" applyNumberFormat="1" applyFont="1" applyFill="1" applyBorder="1" applyAlignment="1">
      <x:alignment vertical="center"/>
    </x:xf>
    <x:xf numFmtId="0" fontId="36" fillId="55" borderId="0" xfId="0" applyNumberFormat="1" applyFont="1" applyFill="1" applyBorder="1" applyAlignment="1">
      <x:alignment vertical="center" wrapText="1"/>
    </x:xf>
    <x:xf numFmtId="0" fontId="3" fillId="56" borderId="1" xfId="0" applyNumberFormat="1" applyFont="1" applyFill="1" applyBorder="1" applyAlignment="1">
      <x:alignment horizontal="center" vertical="center" wrapText="1"/>
    </x:xf>
    <x:xf numFmtId="164" fontId="4" fillId="57" borderId="1" xfId="0" applyNumberFormat="1" applyFont="1" applyFill="1" applyBorder="1" applyAlignment="1">
      <x:alignment horizontal="center" vertical="center" wrapText="1"/>
    </x:xf>
    <x:xf numFmtId="1" fontId="4" fillId="57" borderId="1" xfId="0" applyNumberFormat="1" applyFont="1" applyFill="1" applyBorder="1" applyAlignment="1">
      <x:alignment horizontal="center" vertical="center" wrapText="1"/>
    </x:xf>
    <x:xf numFmtId="211" fontId="4" fillId="57" borderId="1" xfId="0" applyNumberFormat="1" applyFont="1" applyFill="1" applyBorder="1" applyAlignment="1">
      <x:alignment horizontal="center" vertical="center" wrapText="1"/>
    </x:xf>
    <x:xf numFmtId="0" fontId="4" fillId="57" borderId="1" xfId="0" applyNumberFormat="1" applyFont="1" applyFill="1" applyBorder="1" applyAlignment="1">
      <x:alignment horizontal="center" vertical="center" wrapText="1"/>
    </x:xf>
    <x:xf numFmtId="209" fontId="4" fillId="57" borderId="1" xfId="0" applyNumberFormat="1" applyFont="1" applyFill="1" applyBorder="1" applyAlignment="1">
      <x:alignment horizontal="center" vertical="center" wrapText="1"/>
    </x:xf>
    <x:xf numFmtId="165" fontId="4" fillId="57" borderId="1" xfId="0" applyNumberFormat="1" applyFont="1" applyFill="1" applyBorder="1" applyAlignment="1">
      <x:alignment horizontal="center" vertical="center" wrapText="1"/>
    </x:xf>
    <x:xf numFmtId="0" fontId="5" fillId="56" borderId="0" xfId="0" applyNumberFormat="1" applyFont="1" applyFill="1" applyBorder="1" applyAlignment="1">
      <x:alignment vertical="center"/>
    </x:xf>
    <x:xf numFmtId="0" fontId="3" fillId="58" borderId="4" xfId="0" applyNumberFormat="1" applyFont="1" applyFill="1" applyBorder="1" applyAlignment="1">
      <x:alignment horizontal="center" vertical="center" wrapText="1"/>
    </x:xf>
    <x:xf numFmtId="209" fontId="37" fillId="55" borderId="2" xfId="0" applyNumberFormat="1" applyFont="1" applyFill="1" applyBorder="1" applyAlignment="1">
      <x:alignment vertical="center" wrapText="1"/>
    </x:xf>
    <x:xf numFmtId="207" fontId="37" fillId="55" borderId="2" xfId="0" applyNumberFormat="1" applyFont="1" applyFill="1" applyBorder="1" applyAlignment="1">
      <x:alignment vertical="center" wrapText="1"/>
    </x:xf>
    <x:xf numFmtId="209" fontId="38" fillId="55" borderId="2" xfId="0" applyNumberFormat="1" applyFont="1" applyFill="1" applyBorder="1" applyAlignment="1">
      <x:alignment vertical="center" wrapText="1"/>
    </x:xf>
    <x:xf numFmtId="212" fontId="37" fillId="55" borderId="2" xfId="0" applyNumberFormat="1" applyFont="1" applyFill="1" applyBorder="1" applyAlignment="1">
      <x:alignment vertical="center" wrapText="1"/>
    </x:xf>
    <x:xf numFmtId="165" fontId="37" fillId="55" borderId="2" xfId="0" applyNumberFormat="1" applyFont="1" applyFill="1" applyBorder="1" applyAlignment="1">
      <x:alignment vertical="center" wrapText="1"/>
    </x:xf>
    <x:xf numFmtId="0" fontId="5" fillId="58" borderId="4" xfId="0" applyNumberFormat="1" applyFont="1" applyFill="1" applyBorder="1" applyAlignment="1">
      <x:alignment horizontal="center" vertical="center" wrapText="1"/>
    </x:xf>
    <x:xf numFmtId="209" fontId="22" fillId="55" borderId="0" xfId="0" applyNumberFormat="1" applyFont="1" applyFill="1" applyBorder="1"/>
    <x:xf numFmtId="209" fontId="39" fillId="5" borderId="0" xfId="0" applyNumberFormat="1" applyFont="1" applyFill="1" applyBorder="1" applyAlignment="1">
      <x:alignment vertical="center" wrapText="1"/>
    </x:xf>
    <x:xf numFmtId="200" fontId="39" fillId="5" borderId="0" xfId="0" applyNumberFormat="1" applyFont="1" applyFill="1" applyBorder="1" applyAlignment="1">
      <x:alignment vertical="center" wrapText="1"/>
    </x:xf>
    <x:xf numFmtId="211" fontId="39" fillId="5" borderId="0" xfId="0" applyNumberFormat="1" applyFont="1" applyFill="1" applyBorder="1" applyAlignment="1">
      <x:alignment vertical="center" wrapText="1"/>
    </x:xf>
    <x:xf numFmtId="164" fontId="39" fillId="5" borderId="0" xfId="0" applyNumberFormat="1" applyFont="1" applyFill="1" applyBorder="1" applyAlignment="1">
      <x:alignment vertical="center" wrapText="1"/>
    </x:xf>
    <x:xf numFmtId="200" fontId="42" fillId="57" borderId="2" xfId="0" applyNumberFormat="1" applyFont="1" applyFill="1" applyBorder="1" applyAlignment="1">
      <x:alignment vertical="center" wrapText="1"/>
    </x:xf>
    <x:xf numFmtId="209" fontId="43" fillId="57" borderId="0" xfId="0" applyNumberFormat="1" applyFont="1" applyFill="1" applyBorder="1"/>
    <x:xf numFmtId="209" fontId="42" fillId="57" borderId="0" xfId="0" applyNumberFormat="1" applyFont="1" applyFill="1" applyBorder="1" applyAlignment="1">
      <x:alignment vertical="center" wrapText="1"/>
    </x:xf>
    <x:xf numFmtId="209" fontId="39" fillId="57" borderId="0" xfId="0" applyNumberFormat="1" applyFont="1" applyFill="1" applyBorder="1" applyAlignment="1">
      <x:alignment vertical="center" wrapText="1"/>
    </x:xf>
    <x:xf numFmtId="200" fontId="39" fillId="57" borderId="0" xfId="0" applyNumberFormat="1" applyFont="1" applyFill="1" applyBorder="1" applyAlignment="1">
      <x:alignment vertical="center" wrapText="1"/>
    </x:xf>
    <x:xf numFmtId="211" fontId="39" fillId="57" borderId="0" xfId="0" applyNumberFormat="1" applyFont="1" applyFill="1" applyBorder="1" applyAlignment="1">
      <x:alignment vertical="center" wrapText="1"/>
    </x:xf>
    <x:xf numFmtId="164" fontId="39" fillId="57" borderId="0" xfId="0" applyNumberFormat="1" applyFont="1" applyFill="1" applyBorder="1" applyAlignment="1">
      <x:alignment vertical="center" wrapText="1"/>
    </x:xf>
    <x:xf numFmtId="200" fontId="42" fillId="57" borderId="0" xfId="0" applyNumberFormat="1" applyFont="1" applyFill="1" applyBorder="1" applyAlignment="1">
      <x:alignment vertical="center" wrapText="1"/>
    </x:xf>
    <x:xf numFmtId="211" fontId="42" fillId="57" borderId="0" xfId="0" applyNumberFormat="1" applyFont="1" applyFill="1" applyBorder="1" applyAlignment="1">
      <x:alignment vertical="center" wrapText="1"/>
    </x:xf>
    <x:xf numFmtId="164" fontId="42" fillId="57" borderId="0" xfId="0" applyNumberFormat="1" applyFont="1" applyFill="1" applyBorder="1" applyAlignment="1">
      <x:alignment vertical="center" wrapText="1"/>
    </x:xf>
    <x:xf numFmtId="207" fontId="47" fillId="5" borderId="0" xfId="0" applyNumberFormat="1" applyFont="1" applyFill="1" applyBorder="1"/>
    <x:xf numFmtId="211" fontId="47" fillId="5" borderId="0" xfId="0" applyNumberFormat="1" applyFont="1" applyFill="1" applyBorder="1"/>
    <x:xf numFmtId="164" fontId="47" fillId="5" borderId="0" xfId="0" applyNumberFormat="1" applyFont="1" applyFill="1" applyBorder="1"/>
    <x:xf numFmtId="0" fontId="47" fillId="5" borderId="0" xfId="0" applyNumberFormat="1" applyFont="1" applyFill="1" applyBorder="1"/>
    <x:xf numFmtId="0" fontId="43" fillId="57" borderId="0" xfId="0" applyNumberFormat="1" applyFont="1" applyFill="1" applyBorder="1"/>
    <x:xf numFmtId="207" fontId="47" fillId="57" borderId="0" xfId="0" applyNumberFormat="1" applyFont="1" applyFill="1" applyBorder="1"/>
    <x:xf numFmtId="211" fontId="47" fillId="57" borderId="0" xfId="0" applyNumberFormat="1" applyFont="1" applyFill="1" applyBorder="1"/>
    <x:xf numFmtId="164" fontId="47" fillId="57" borderId="0" xfId="0" applyNumberFormat="1" applyFont="1" applyFill="1" applyBorder="1"/>
    <x:xf numFmtId="0" fontId="47" fillId="57" borderId="0" xfId="0" applyNumberFormat="1" applyFont="1" applyFill="1" applyBorder="1"/>
    <x:xf numFmtId="207" fontId="43" fillId="57" borderId="0" xfId="0" applyNumberFormat="1" applyFont="1" applyFill="1" applyBorder="1"/>
    <x:xf numFmtId="211" fontId="43" fillId="57" borderId="0" xfId="0" applyNumberFormat="1" applyFont="1" applyFill="1" applyBorder="1"/>
    <x:xf numFmtId="164" fontId="43" fillId="57" borderId="0" xfId="0" applyNumberFormat="1" applyFont="1" applyFill="1" applyBorder="1"/>
    <x:xf numFmtId="211" fontId="41" fillId="8" borderId="0" xfId="0" applyNumberFormat="1" applyFont="1" applyFill="1" applyBorder="1"/>
    <x:xf numFmtId="210" fontId="41" fillId="8" borderId="0" xfId="0" applyNumberFormat="1" applyFont="1" applyFill="1" applyBorder="1"/>
    <x:xf numFmtId="209" fontId="41" fillId="8" borderId="0" xfId="0" applyNumberFormat="1" applyFont="1" applyFill="1" applyBorder="1"/>
    <x:xf numFmtId="0" fontId="6" fillId="57" borderId="2" xfId="0" applyNumberFormat="1" applyFont="1" applyFill="1" applyBorder="1" applyAlignment="1">
      <x:alignment vertical="center" wrapText="1"/>
    </x:xf>
    <x:xf numFmtId="211" fontId="40" fillId="57" borderId="2" xfId="0" applyNumberFormat="1" applyFont="1" applyFill="1" applyBorder="1" applyAlignment="1">
      <x:alignment vertical="center" wrapText="1"/>
    </x:xf>
    <x:xf numFmtId="210" fontId="40" fillId="57" borderId="2" xfId="0" applyNumberFormat="1" applyFont="1" applyFill="1" applyBorder="1" applyAlignment="1">
      <x:alignment vertical="center" wrapText="1"/>
    </x:xf>
    <x:xf numFmtId="209" fontId="40" fillId="57" borderId="2" xfId="0" applyNumberFormat="1" applyFont="1" applyFill="1" applyBorder="1" applyAlignment="1">
      <x:alignment vertical="center" wrapText="1"/>
    </x:xf>
    <x:xf numFmtId="10" fontId="6" fillId="57" borderId="2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211" fontId="41" fillId="59" borderId="0" xfId="0" applyNumberFormat="1" applyFont="1" applyFill="1" applyBorder="1"/>
    <x:xf numFmtId="210" fontId="41" fillId="59" borderId="0" xfId="0" applyNumberFormat="1" applyFont="1" applyFill="1" applyBorder="1"/>
    <x:xf numFmtId="209" fontId="41" fillId="59" borderId="0" xfId="0" applyNumberFormat="1" applyFont="1" applyFill="1" applyBorder="1"/>
    <x:xf numFmtId="0" fontId="0" fillId="59" borderId="0" xfId="0" applyNumberFormat="1" applyFont="1" applyFill="1" applyBorder="1" applyAlignment="1">
      <x:alignment wrapText="1"/>
    </x:xf>
    <x:xf numFmtId="1" fontId="39" fillId="2" borderId="2" xfId="0" applyNumberFormat="1" applyFont="1" applyFill="1" applyBorder="1" applyAlignment="1">
      <x:alignment vertical="center" wrapText="1"/>
    </x:xf>
    <x:xf numFmtId="165" fontId="39" fillId="2" borderId="2" xfId="0" applyNumberFormat="1" applyFont="1" applyFill="1" applyBorder="1" applyAlignment="1">
      <x:alignment vertical="center" wrapText="1"/>
    </x:xf>
    <x:xf numFmtId="164" fontId="39" fillId="2" borderId="2" xfId="0" applyNumberFormat="1" applyFont="1" applyFill="1" applyBorder="1" applyAlignment="1">
      <x:alignment vertical="center" wrapText="1"/>
    </x:xf>
    <x:xf numFmtId="1" fontId="3" fillId="54" borderId="2" xfId="0" applyNumberFormat="1" applyFont="1" applyFill="1" applyBorder="1" applyAlignment="1">
      <x:alignment vertical="center" wrapText="1"/>
    </x:xf>
    <x:xf numFmtId="1" fontId="39" fillId="54" borderId="2" xfId="0" applyNumberFormat="1" applyFont="1" applyFill="1" applyBorder="1" applyAlignment="1">
      <x:alignment vertical="center" wrapText="1"/>
    </x:xf>
    <x:xf numFmtId="165" fontId="39" fillId="54" borderId="2" xfId="0" applyNumberFormat="1" applyFont="1" applyFill="1" applyBorder="1" applyAlignment="1">
      <x:alignment vertical="center" wrapText="1"/>
    </x:xf>
    <x:xf numFmtId="164" fontId="39" fillId="54" borderId="2" xfId="0" applyNumberFormat="1" applyFont="1" applyFill="1" applyBorder="1" applyAlignment="1">
      <x:alignment vertical="center" wrapText="1"/>
    </x:xf>
    <x:xf numFmtId="165" fontId="3" fillId="54" borderId="2" xfId="0" applyNumberFormat="1" applyFont="1" applyFill="1" applyBorder="1" applyAlignment="1">
      <x:alignment vertical="center" wrapText="1"/>
    </x:xf>
    <x:xf numFmtId="164" fontId="3" fillId="54" borderId="2" xfId="0" applyNumberFormat="1" applyFont="1" applyFill="1" applyBorder="1" applyAlignment="1">
      <x:alignment vertical="center" wrapText="1"/>
    </x:xf>
    <x:xf numFmtId="0" fontId="44" fillId="59" borderId="0" xfId="0" applyNumberFormat="1" applyFont="1" applyFill="1" applyBorder="1" applyAlignment="1">
      <x:alignment vertical="center" wrapText="1"/>
    </x:xf>
    <x:xf numFmtId="0" fontId="45" fillId="55" borderId="0" xfId="0" applyNumberFormat="1" applyFont="1" applyFill="1" applyBorder="1" applyAlignment="1">
      <x:alignment wrapText="1"/>
    </x:xf>
    <x:xf numFmtId="209" fontId="47" fillId="5" borderId="0" xfId="0" applyNumberFormat="1" applyFont="1" applyFill="1" applyBorder="1"/>
    <x:xf numFmtId="0" fontId="43" fillId="57" borderId="0" xfId="0" applyNumberFormat="1" applyFont="1" applyFill="1" applyBorder="1" applyAlignment="1">
      <x:alignment wrapText="1"/>
    </x:xf>
    <x:xf numFmtId="209" fontId="47" fillId="57" borderId="0" xfId="0" applyNumberFormat="1" applyFont="1" applyFill="1" applyBorder="1"/>
    <x:xf numFmtId="208" fontId="5" fillId="58" borderId="4" xfId="0" applyNumberFormat="1" applyFont="1" applyFill="1" applyBorder="1" applyAlignment="1">
      <x:alignment horizontal="center" vertical="center" wrapText="1"/>
    </x:xf>
    <x:xf numFmtId="209" fontId="47" fillId="8" borderId="0" xfId="0" applyNumberFormat="1" applyFont="1" applyFill="1" applyBorder="1"/>
    <x:xf numFmtId="209" fontId="47" fillId="59" borderId="0" xfId="0" applyNumberFormat="1" applyFont="1" applyFill="1" applyBorder="1"/>
    <x:xf numFmtId="0" fontId="48" fillId="59" borderId="0" xfId="0" applyNumberFormat="1" applyFont="1" applyFill="1" applyBorder="1" applyAlignment="1">
      <x:alignment wrapText="1"/>
    </x:xf>
    <x:xf numFmtId="202" fontId="48" fillId="59" borderId="0" xfId="0" applyNumberFormat="1" applyFont="1" applyFill="1" applyBorder="1"/>
    <x:xf numFmtId="0" fontId="48" fillId="59" borderId="0" xfId="0" applyNumberFormat="1" applyFont="1" applyFill="1" applyBorder="1"/>
    <x:xf numFmtId="0" fontId="26" fillId="55" borderId="0" xfId="0" applyNumberFormat="1" applyFont="1" applyFill="1" applyBorder="1" applyAlignment="1">
      <x:alignment vertical="center" wrapText="1"/>
    </x:xf>
    <x:xf numFmtId="0" fontId="49" fillId="60" borderId="0" xfId="0" applyNumberFormat="1" applyFont="1" applyFill="1" applyBorder="1" applyAlignment="1">
      <x:alignment wrapText="1"/>
    </x:xf>
    <x:xf numFmtId="0" fontId="14" fillId="55" borderId="0" xfId="0" applyNumberFormat="1" applyFont="1" applyFill="1" applyBorder="1" applyAlignment="1">
      <x:alignment vertical="center" wrapText="1"/>
    </x:xf>
    <x:xf numFmtId="211" fontId="20" fillId="55" borderId="0" xfId="0" applyNumberFormat="1" applyFont="1" applyFill="1" applyBorder="1" applyAlignment="1">
      <x:alignment vertical="center" wrapText="1"/>
    </x:xf>
    <x:xf numFmtId="211" fontId="14" fillId="55" borderId="0" xfId="0" applyNumberFormat="1" applyFont="1" applyFill="1" applyBorder="1" applyAlignment="1">
      <x:alignment vertical="center" wrapText="1"/>
    </x:xf>
    <x:xf numFmtId="164" fontId="20" fillId="55" borderId="0" xfId="0" applyNumberFormat="1" applyFont="1" applyFill="1" applyBorder="1" applyAlignment="1">
      <x:alignment vertical="center" wrapText="1"/>
    </x:xf>
    <x:xf numFmtId="0" fontId="20" fillId="55" borderId="0" xfId="0" applyNumberFormat="1" applyFont="1" applyFill="1" applyBorder="1" applyAlignment="1">
      <x:alignment vertical="center" wrapText="1"/>
    </x:xf>
    <x:xf numFmtId="0" fontId="5" fillId="56" borderId="0" xfId="0" applyNumberFormat="1" applyFont="1" applyFill="1" applyBorder="1" applyAlignment="1">
      <x:alignment vertical="center" wrapText="1"/>
    </x:xf>
    <x:xf numFmtId="211" fontId="47" fillId="5" borderId="3" xfId="0" applyNumberFormat="1" applyFont="1" applyFill="1" applyBorder="1"/>
    <x:xf numFmtId="0" fontId="43" fillId="57" borderId="3" xfId="0" applyNumberFormat="1" applyFont="1" applyFill="1" applyBorder="1"/>
    <x:xf numFmtId="207" fontId="43" fillId="57" borderId="3" xfId="0" applyNumberFormat="1" applyFont="1" applyFill="1" applyBorder="1"/>
    <x:xf numFmtId="209" fontId="43" fillId="57" borderId="3" xfId="0" applyNumberFormat="1" applyFont="1" applyFill="1" applyBorder="1"/>
    <x:xf numFmtId="212" fontId="43" fillId="57" borderId="3" xfId="0" applyNumberFormat="1" applyFont="1" applyFill="1" applyBorder="1"/>
    <x:xf numFmtId="211" fontId="47" fillId="57" borderId="3" xfId="0" applyNumberFormat="1" applyFont="1" applyFill="1" applyBorder="1"/>
    <x:xf numFmtId="211" fontId="43" fillId="57" borderId="3" xfId="0" applyNumberFormat="1" applyFont="1" applyFill="1" applyBorder="1"/>
    <x:xf numFmtId="200" fontId="43" fillId="57" borderId="3" xfId="0" applyNumberFormat="1" applyFont="1" applyFill="1" applyBorder="1"/>
    <x:xf numFmtId="200" fontId="43" fillId="57" borderId="3" xfId="0" applyNumberFormat="1" applyFont="1" applyFill="1" applyBorder="1" applyAlignment="1">
      <x:alignment wrapText="1"/>
    </x:xf>
    <x:xf numFmtId="0" fontId="43" fillId="57" borderId="3" xfId="0" applyNumberFormat="1" applyFont="1" applyFill="1" applyBorder="1" applyAlignment="1">
      <x:alignment wrapText="1"/>
    </x:xf>
    <x:xf numFmtId="0" fontId="45" fillId="61" borderId="0" xfId="0" applyNumberFormat="1" applyFont="1" applyFill="1" applyBorder="1" applyAlignment="1">
      <x:alignment wrapText="1"/>
    </x:xf>
    <x:xf numFmtId="0" fontId="47" fillId="2" borderId="0" xfId="0" applyNumberFormat="1" applyFont="1" applyFill="1" applyBorder="1"/>
    <x:xf numFmtId="0" fontId="5" fillId="54" borderId="0" xfId="0" applyNumberFormat="1" applyFont="1" applyFill="1" applyBorder="1"/>
    <x:xf numFmtId="0" fontId="47" fillId="54" borderId="0" xfId="0" applyNumberFormat="1" applyFont="1" applyFill="1" applyBorder="1"/>
    <x:xf numFmtId="0" fontId="28" fillId="54" borderId="0" xfId="0" applyNumberFormat="1" applyFont="1" applyFill="1" applyBorder="1" applyAlignment="1">
      <x:alignment vertical="center"/>
    </x:xf>
    <x:xf numFmtId="0" fontId="50" fillId="55" borderId="0" xfId="0" applyNumberFormat="1" applyFont="1" applyFill="1" applyBorder="1" applyAlignment="1">
      <x:alignment vertical="center" wrapText="1"/>
    </x:xf>
    <x:xf numFmtId="0" fontId="30" fillId="56" borderId="0" xfId="0" applyNumberFormat="1" applyFont="1" applyFill="1" applyBorder="1" applyAlignment="1">
      <x:alignment vertical="center"/>
    </x:xf>
    <x:xf numFmtId="164" fontId="57" fillId="4" borderId="0" xfId="0" applyNumberFormat="1" applyFont="1" applyFill="1" applyBorder="1" applyAlignment="1">
      <x:alignment vertical="center"/>
    </x:xf>
    <x:xf numFmtId="0" fontId="31" fillId="58" borderId="4" xfId="0" applyNumberFormat="1" applyFont="1" applyFill="1" applyBorder="1" applyAlignment="1">
      <x:alignment horizontal="center" vertical="center" wrapText="1"/>
    </x:xf>
    <x:xf numFmtId="209" fontId="53" fillId="57" borderId="0" xfId="0" applyNumberFormat="1" applyFont="1" applyFill="1" applyBorder="1" applyAlignment="1">
      <x:alignment vertical="center"/>
    </x:xf>
    <x:xf numFmtId="209" fontId="33" fillId="57" borderId="0" xfId="0" applyNumberFormat="1" applyFont="1" applyFill="1" applyBorder="1" applyAlignment="1">
      <x:alignment vertical="center"/>
    </x:xf>
    <x:xf numFmtId="0" fontId="27" fillId="60" borderId="0" xfId="0" applyNumberFormat="1" applyFont="1" applyFill="1" applyBorder="1" applyAlignment="1">
      <x:alignment vertical="center" wrapText="1"/>
    </x:xf>
    <x:xf numFmtId="164" fontId="54" fillId="55" borderId="0" xfId="0" applyNumberFormat="1" applyFont="1" applyFill="1" applyBorder="1" applyAlignment="1">
      <x:alignment vertical="center" wrapText="1"/>
    </x:xf>
    <x:xf numFmtId="210" fontId="56" fillId="5" borderId="0" xfId="0" applyNumberFormat="1" applyFont="1" applyFill="1" applyBorder="1" applyAlignment="1">
      <x:alignment vertical="center" wrapText="1"/>
    </x:xf>
    <x:xf numFmtId="0" fontId="34" fillId="57" borderId="0" xfId="0" applyNumberFormat="1" applyFont="1" applyFill="1" applyBorder="1" applyAlignment="1">
      <x:alignment vertical="center" wrapText="1"/>
    </x:xf>
    <x:xf numFmtId="164" fontId="34" fillId="57" borderId="0" xfId="0" applyNumberFormat="1" applyFont="1" applyFill="1" applyBorder="1" applyAlignment="1">
      <x:alignment vertical="center" wrapText="1"/>
    </x:xf>
    <x:xf numFmtId="209" fontId="56" fillId="57" borderId="0" xfId="0" applyNumberFormat="1" applyFont="1" applyFill="1" applyBorder="1" applyAlignment="1">
      <x:alignment vertical="center" wrapText="1"/>
    </x:xf>
    <x:xf numFmtId="210" fontId="56" fillId="57" borderId="0" xfId="0" applyNumberFormat="1" applyFont="1" applyFill="1" applyBorder="1" applyAlignment="1">
      <x:alignment vertical="center" wrapText="1"/>
    </x:xf>
    <x:xf numFmtId="209" fontId="34" fillId="57" borderId="0" xfId="0" applyNumberFormat="1" applyFont="1" applyFill="1" applyBorder="1" applyAlignment="1">
      <x:alignment vertical="center" wrapText="1"/>
    </x:xf>
    <x:xf numFmtId="210" fontId="34" fillId="57" borderId="0" xfId="0" applyNumberFormat="1" applyFont="1" applyFill="1" applyBorder="1" applyAlignment="1">
      <x:alignment vertical="center" wrapText="1"/>
    </x:xf>
    <x:xf numFmtId="210" fontId="55" fillId="60" borderId="0" xfId="0" applyNumberFormat="1" applyFont="1" applyFill="1" applyBorder="1" applyAlignment="1">
      <x:alignment vertical="center" wrapText="1"/>
    </x:xf>
    <x:xf numFmtId="0" fontId="32" fillId="60" borderId="0" xfId="0" applyNumberFormat="1" applyFont="1" applyFill="1" applyBorder="1" applyAlignment="1">
      <x:alignment vertical="center" wrapText="1"/>
    </x:xf>
    <x:xf numFmtId="0" fontId="34" fillId="60" borderId="0" xfId="0" applyNumberFormat="1" applyFont="1" applyFill="1" applyBorder="1" applyAlignment="1">
      <x:alignment vertical="center" wrapText="1"/>
    </x:xf>
    <x:xf numFmtId="209" fontId="34" fillId="60" borderId="0" xfId="0" applyNumberFormat="1" applyFont="1" applyFill="1" applyBorder="1" applyAlignment="1">
      <x:alignment vertical="center" wrapText="1"/>
    </x:xf>
    <x:xf numFmtId="0" fontId="59" fillId="60" borderId="0" xfId="0" applyNumberFormat="1" applyFont="1" applyFill="1" applyBorder="1" applyAlignment="1">
      <x:alignment vertical="center" wrapText="1"/>
    </x:xf>
    <x:xf numFmtId="210" fontId="59" fillId="60" borderId="0" xfId="0" applyNumberFormat="1" applyFont="1" applyFill="1" applyBorder="1" applyAlignment="1">
      <x:alignment vertical="center" wrapText="1"/>
    </x:xf>
    <x:xf numFmtId="209" fontId="59" fillId="60" borderId="0" xfId="0" applyNumberFormat="1" applyFont="1" applyFill="1" applyBorder="1" applyAlignment="1">
      <x:alignment vertical="center" wrapText="1"/>
    </x:xf>
    <x:xf numFmtId="0" fontId="27" fillId="57" borderId="0" xfId="0" applyNumberFormat="1" applyFont="1" applyFill="1" applyBorder="1" applyAlignment="1">
      <x:alignment vertical="center" wrapText="1"/>
    </x:xf>
    <x:xf numFmtId="210" fontId="55" fillId="57" borderId="0" xfId="0" applyNumberFormat="1" applyFont="1" applyFill="1" applyBorder="1" applyAlignment="1">
      <x:alignment vertical="center" wrapText="1"/>
    </x:xf>
    <x:xf numFmtId="0" fontId="32" fillId="57" borderId="0" xfId="0" applyNumberFormat="1" applyFont="1" applyFill="1" applyBorder="1" applyAlignment="1">
      <x:alignment vertical="center" wrapText="1"/>
    </x:xf>
    <x:xf numFmtId="0" fontId="58" fillId="57" borderId="0" xfId="0" applyNumberFormat="1" applyFont="1" applyFill="1" applyBorder="1" applyAlignment="1">
      <x:alignment vertical="center" wrapText="1"/>
    </x:xf>
    <x:xf numFmtId="209" fontId="58" fillId="57" borderId="0" xfId="0" applyNumberFormat="1" applyFont="1" applyFill="1" applyBorder="1" applyAlignment="1">
      <x:alignment vertical="center" wrapText="1"/>
    </x:xf>
    <x:xf numFmtId="0" fontId="27" fillId="54" borderId="0" xfId="0" applyNumberFormat="1" applyFont="1" applyFill="1" applyBorder="1" applyAlignment="1">
      <x:alignment vertical="center" wrapText="1"/>
    </x:xf>
    <x:xf numFmtId="210" fontId="55" fillId="54" borderId="0" xfId="0" applyNumberFormat="1" applyFont="1" applyFill="1" applyBorder="1" applyAlignment="1">
      <x:alignment vertical="center" wrapText="1"/>
    </x:xf>
    <x:xf numFmtId="0" fontId="32" fillId="54" borderId="0" xfId="0" applyNumberFormat="1" applyFont="1" applyFill="1" applyBorder="1" applyAlignment="1">
      <x:alignment vertical="center" wrapText="1"/>
    </x:xf>
    <x:xf numFmtId="0" fontId="60" fillId="54" borderId="0" xfId="0" applyNumberFormat="1" applyFont="1" applyFill="1" applyBorder="1" applyAlignment="1">
      <x:alignment vertical="center" wrapText="1"/>
    </x:xf>
    <x:xf numFmtId="210" fontId="60" fillId="54" borderId="0" xfId="0" applyNumberFormat="1" applyFont="1" applyFill="1" applyBorder="1" applyAlignment="1">
      <x:alignment vertical="center" wrapText="1"/>
    </x:xf>
    <x:xf numFmtId="0" fontId="27" fillId="62" borderId="0" xfId="0" applyNumberFormat="1" applyFont="1" applyFill="1" applyBorder="1" applyAlignment="1">
      <x:alignment vertical="center" wrapText="1"/>
    </x:xf>
    <x:xf numFmtId="209" fontId="35" fillId="62" borderId="0" xfId="0" applyNumberFormat="1" applyFont="1" applyFill="1" applyBorder="1" applyAlignment="1">
      <x:alignment vertical="center" wrapText="1"/>
    </x:xf>
    <x:xf numFmtId="0" fontId="32" fillId="62" borderId="0" xfId="0" applyNumberFormat="1" applyFont="1" applyFill="1" applyBorder="1" applyAlignment="1">
      <x:alignment vertical="center" wrapText="1"/>
    </x:xf>
    <x:xf numFmtId="0" fontId="27" fillId="62" borderId="5" xfId="0" applyNumberFormat="1" applyFont="1" applyFill="1" applyBorder="1" applyAlignment="1">
      <x:alignment vertical="center" wrapText="1"/>
    </x:xf>
    <x:xf numFmtId="209" fontId="35" fillId="62" borderId="6" xfId="0" applyNumberFormat="1" applyFont="1" applyFill="1" applyBorder="1" applyAlignment="1">
      <x:alignment vertical="center" wrapText="1"/>
    </x:xf>
    <x:xf numFmtId="0" fontId="27" fillId="62" borderId="6" xfId="0" applyNumberFormat="1" applyFont="1" applyFill="1" applyBorder="1" applyAlignment="1">
      <x:alignment vertical="center" wrapText="1"/>
    </x:xf>
    <x:xf numFmtId="0" fontId="32" fillId="62" borderId="6" xfId="0" applyNumberFormat="1" applyFont="1" applyFill="1" applyBorder="1" applyAlignment="1">
      <x:alignment vertical="center" wrapText="1"/>
    </x:xf>
    <x:xf numFmtId="0" fontId="32" fillId="62" borderId="7" xfId="0" applyNumberFormat="1" applyFont="1" applyFill="1" applyBorder="1" applyAlignment="1">
      <x:alignment vertical="center" wrapText="1"/>
    </x:xf>
    <x:xf numFmtId="209" fontId="34" fillId="5" borderId="0" xfId="0" applyNumberFormat="1" applyFont="1" applyFill="1" applyBorder="1" applyAlignment="1">
      <x:alignment vertical="center" wrapText="1"/>
    </x:xf>
    <x:xf numFmtId="211" fontId="52" fillId="42" borderId="0" xfId="0" applyNumberFormat="1" applyFont="1" applyFill="1" applyBorder="1" applyAlignment="1">
      <x:alignment vertical="center" wrapText="1"/>
    </x:xf>
    <x:xf numFmtId="211" fontId="55" fillId="42" borderId="0" xfId="0" applyNumberFormat="1" applyFont="1" applyFill="1" applyBorder="1" applyAlignment="1">
      <x:alignment vertical="center" wrapText="1"/>
    </x:xf>
    <x:xf numFmtId="211" fontId="59" fillId="60" borderId="0" xfId="0" applyNumberFormat="1" applyFont="1" applyFill="1" applyBorder="1" applyAlignment="1">
      <x:alignment vertical="center" wrapText="1"/>
    </x:xf>
    <x:xf numFmtId="211" fontId="34" fillId="57" borderId="0" xfId="0" applyNumberFormat="1" applyFont="1" applyFill="1" applyBorder="1" applyAlignment="1">
      <x:alignment vertical="center" wrapText="1"/>
    </x:xf>
    <x:xf numFmtId="211" fontId="60" fillId="54" borderId="0" xfId="0" applyNumberFormat="1" applyFont="1" applyFill="1" applyBorder="1" applyAlignment="1">
      <x:alignment vertical="center" wrapText="1"/>
    </x:xf>
    <x:xf numFmtId="209" fontId="60" fillId="54" borderId="0" xfId="0" applyNumberFormat="1" applyFont="1" applyFill="1" applyBorder="1" applyAlignment="1">
      <x:alignment vertical="center" wrapText="1"/>
    </x:xf>
    <x:xf numFmtId="0" fontId="27" fillId="56" borderId="0" xfId="0" applyNumberFormat="1" applyFont="1" applyFill="1" applyBorder="1" applyAlignment="1">
      <x:alignment vertical="center"/>
    </x:xf>
    <x:xf numFmtId="0" fontId="30" fillId="58" borderId="0" xfId="0" applyNumberFormat="1" applyFont="1" applyFill="1" applyBorder="1" applyAlignment="1">
      <x:alignment vertical="center"/>
    </x:xf>
    <x:xf numFmtId="0" fontId="30" fillId="58" borderId="4" xfId="0" applyNumberFormat="1" applyFont="1" applyFill="1" applyBorder="1" applyAlignment="1">
      <x:alignment vertical="center"/>
    </x:xf>
    <x:xf numFmtId="0" fontId="30" fillId="58" borderId="4" xfId="0" applyNumberFormat="1" applyFont="1" applyFill="1" applyBorder="1" applyAlignment="1">
      <x:alignment vertical="center" wrapText="1"/>
    </x:xf>
    <x:xf numFmtId="0" fontId="30" fillId="58" borderId="4" xfId="0" applyNumberFormat="1" applyFont="1" applyFill="1" applyBorder="1" applyAlignment="1">
      <x:alignment horizontal="center" vertical="center" wrapText="1"/>
    </x:xf>
    <x:xf numFmtId="0" fontId="52" fillId="42" borderId="0" xfId="0" applyNumberFormat="1" applyFont="1" applyFill="1" applyBorder="1" applyAlignment="1">
      <x:alignment vertical="center" wrapText="1"/>
    </x:xf>
    <x:xf numFmtId="0" fontId="52" fillId="43" borderId="0" xfId="0" applyNumberFormat="1" applyFont="1" applyFill="1" applyBorder="1" applyAlignment="1">
      <x:alignment vertical="center" wrapText="1"/>
    </x:xf>
    <x:xf numFmtId="0" fontId="51" fillId="9" borderId="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41" fillId="57" borderId="0" xfId="0" applyNumberFormat="1" applyFont="1" applyFill="1" applyBorder="1"/>
    <x:xf numFmtId="0" fontId="51" fillId="60" borderId="0" xfId="0" applyNumberFormat="1" applyFont="1" applyFill="1" applyBorder="1" applyAlignment="1">
      <x:alignment vertical="center" wrapText="1"/>
    </x:xf>
    <x:xf numFmtId="0" fontId="0" fillId="60" borderId="0" xfId="0" applyNumberFormat="1" applyFont="1" applyFill="1" applyBorder="1"/>
    <x:xf numFmtId="0" fontId="23" fillId="60" borderId="0" xfId="0" applyNumberFormat="1" applyFont="1" applyFill="1" applyBorder="1"/>
    <x:xf numFmtId="0" fontId="23" fillId="59" borderId="0" xfId="0" applyNumberFormat="1" applyFont="1" applyFill="1" applyBorder="1"/>
    <x:xf numFmtId="0" fontId="30" fillId="58" borderId="8" xfId="0" applyNumberFormat="1" applyFont="1" applyFill="1" applyBorder="1" applyAlignment="1">
      <x:alignment horizontal="center" vertical="center" wrapText="1"/>
    </x:xf>
    <x:xf numFmtId="0" fontId="27" fillId="42" borderId="9" xfId="0" applyNumberFormat="1" applyFont="1" applyFill="1" applyBorder="1" applyAlignment="1">
      <x:alignment vertical="center" wrapText="1"/>
    </x:xf>
    <x:xf numFmtId="0" fontId="27" fillId="43" borderId="9" xfId="0" applyNumberFormat="1" applyFont="1" applyFill="1" applyBorder="1" applyAlignment="1">
      <x:alignment vertical="center" wrapText="1"/>
    </x:xf>
    <x:xf numFmtId="0" fontId="59" fillId="60" borderId="9" xfId="0" applyNumberFormat="1" applyFont="1" applyFill="1" applyBorder="1" applyAlignment="1">
      <x:alignment vertical="center" wrapText="1"/>
    </x:xf>
    <x:xf numFmtId="0" fontId="0" fillId="60" borderId="9" xfId="0" applyNumberFormat="1" applyFont="1" applyFill="1" applyBorder="1"/>
    <x:xf numFmtId="0" fontId="0" fillId="59" borderId="9" xfId="0" applyNumberFormat="1" applyFont="1" applyFill="1" applyBorder="1"/>
    <x:xf numFmtId="0" fontId="43" fillId="57" borderId="10" xfId="0" applyNumberFormat="1" applyFont="1" applyFill="1" applyBorder="1"/>
    <x:xf numFmtId="0" fontId="0" fillId="60" borderId="9" xfId="0" applyNumberFormat="1" applyFont="1" applyFill="1" applyBorder="1" applyAlignment="1">
      <x:alignment wrapText="1"/>
    </x:xf>
    <x:xf numFmtId="0" fontId="0" fillId="59" borderId="9" xfId="0" applyNumberFormat="1" applyFont="1" applyFill="1" applyBorder="1" applyAlignment="1">
      <x:alignment wrapText="1"/>
    </x:xf>
    <x:xf numFmtId="0" fontId="43" fillId="57" borderId="10" xfId="0" applyNumberFormat="1" applyFont="1" applyFill="1" applyBorder="1" applyAlignment="1">
      <x:alignment wrapText="1"/>
    </x:xf>
    <x:xf numFmtId="207" fontId="52" fillId="42" borderId="0" xfId="0" applyNumberFormat="1" applyFont="1" applyFill="1" applyBorder="1" applyAlignment="1">
      <x:alignment vertical="center" wrapText="1"/>
    </x:xf>
    <x:xf numFmtId="207" fontId="52" fillId="43" borderId="0" xfId="0" applyNumberFormat="1" applyFont="1" applyFill="1" applyBorder="1" applyAlignment="1">
      <x:alignment vertical="center" wrapText="1"/>
    </x:xf>
    <x:xf numFmtId="207" fontId="51" fillId="60" borderId="0" xfId="0" applyNumberFormat="1" applyFont="1" applyFill="1" applyBorder="1" applyAlignment="1">
      <x:alignment vertical="center" wrapText="1"/>
    </x:xf>
    <x:xf numFmtId="207" fontId="23" fillId="60" borderId="0" xfId="0" applyNumberFormat="1" applyFont="1" applyFill="1" applyBorder="1"/>
    <x:xf numFmtId="207" fontId="23" fillId="59" borderId="0" xfId="0" applyNumberFormat="1" applyFont="1" applyFill="1" applyBorder="1"/>
    <x:xf numFmtId="211" fontId="52" fillId="43" borderId="0" xfId="0" applyNumberFormat="1" applyFont="1" applyFill="1" applyBorder="1" applyAlignment="1">
      <x:alignment vertical="center" wrapText="1"/>
    </x:xf>
    <x:xf numFmtId="211" fontId="51" fillId="60" borderId="0" xfId="0" applyNumberFormat="1" applyFont="1" applyFill="1" applyBorder="1" applyAlignment="1">
      <x:alignment vertical="center" wrapText="1"/>
    </x:xf>
    <x:xf numFmtId="211" fontId="23" fillId="60" borderId="0" xfId="0" applyNumberFormat="1" applyFont="1" applyFill="1" applyBorder="1"/>
    <x:xf numFmtId="211" fontId="23" fillId="59" borderId="0" xfId="0" applyNumberFormat="1" applyFont="1" applyFill="1" applyBorder="1"/>
    <x:xf numFmtId="164" fontId="52" fillId="42" borderId="0" xfId="0" applyNumberFormat="1" applyFont="1" applyFill="1" applyBorder="1" applyAlignment="1">
      <x:alignment vertical="center" wrapText="1"/>
    </x:xf>
    <x:xf numFmtId="164" fontId="52" fillId="43" borderId="0" xfId="0" applyNumberFormat="1" applyFont="1" applyFill="1" applyBorder="1" applyAlignment="1">
      <x:alignment vertical="center" wrapText="1"/>
    </x:xf>
    <x:xf numFmtId="164" fontId="51" fillId="60" borderId="0" xfId="0" applyNumberFormat="1" applyFont="1" applyFill="1" applyBorder="1" applyAlignment="1">
      <x:alignment vertical="center" wrapText="1"/>
    </x:xf>
    <x:xf numFmtId="164" fontId="23" fillId="60" borderId="0" xfId="0" applyNumberFormat="1" applyFont="1" applyFill="1" applyBorder="1"/>
    <x:xf numFmtId="164" fontId="23" fillId="59" borderId="0" xfId="0" applyNumberFormat="1" applyFont="1" applyFill="1" applyBorder="1"/>
    <x:xf numFmtId="0" fontId="49" fillId="60" borderId="0" xfId="0" applyNumberFormat="1" applyFont="1" applyFill="1" applyBorder="1"/>
    <x:xf numFmtId="0" fontId="5" fillId="56" borderId="0" xfId="0" applyNumberFormat="1" applyFont="1" applyFill="1" applyBorder="1" applyAlignment="1">
      <x:alignment wrapText="1"/>
    </x:xf>
    <x:xf numFmtId="0" fontId="5" fillId="56" borderId="0" xfId="0" applyNumberFormat="1" applyFont="1" applyFill="1" applyBorder="1"/>
    <x:xf numFmtId="164" fontId="57" fillId="56" borderId="0" xfId="0" applyNumberFormat="1" applyFont="1" applyFill="1" applyBorder="1" applyAlignment="1">
      <x:alignment vertical="center"/>
    </x:xf>
    <x:xf numFmtId="164" fontId="30" fillId="56" borderId="0" xfId="0" applyNumberFormat="1" applyFont="1" applyFill="1" applyBorder="1" applyAlignment="1">
      <x:alignment vertical="center"/>
    </x:xf>
    <x:xf numFmtId="200" fontId="6" fillId="62" borderId="2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7" fillId="62" borderId="0" xfId="0" applyNumberFormat="1" applyFont="1" applyFill="1" applyBorder="1" applyAlignment="1">
      <x:alignment vertical="center" wrapText="1"/>
    </x:xf>
    <x:xf numFmtId="164" fontId="6" fillId="62" borderId="2" xfId="0" applyNumberFormat="1" applyFont="1" applyFill="1" applyBorder="1" applyAlignment="1">
      <x:alignment vertical="center" wrapText="1"/>
    </x:xf>
    <x:xf numFmtId="164" fontId="0" fillId="62" borderId="0" xfId="0" applyNumberFormat="1" applyFont="1" applyFill="1" applyBorder="1"/>
    <x:xf numFmtId="0" fontId="16" fillId="62" borderId="0" xfId="0" applyNumberFormat="1" applyFont="1" applyFill="1" applyBorder="1" applyAlignment="1">
      <x:alignment wrapText="1"/>
    </x:xf>
    <x:xf numFmtId="0" fontId="1" fillId="63" borderId="0" xfId="0" applyNumberFormat="1" applyFont="1" applyFill="1" applyBorder="1" applyAlignment="1">
      <x:alignment vertical="center"/>
    </x:xf>
    <x:xf numFmtId="0" fontId="36" fillId="64" borderId="0" xfId="0" applyNumberFormat="1" applyFont="1" applyFill="1" applyBorder="1" applyAlignment="1">
      <x:alignment vertical="center" wrapText="1"/>
    </x:xf>
    <x:xf numFmtId="0" fontId="3" fillId="65" borderId="1" xfId="0" applyNumberFormat="1" applyFont="1" applyFill="1" applyBorder="1" applyAlignment="1">
      <x:alignment horizontal="center" vertical="center" wrapText="1"/>
    </x:xf>
    <x:xf numFmtId="164" fontId="4" fillId="66" borderId="1" xfId="0" applyNumberFormat="1" applyFont="1" applyFill="1" applyBorder="1" applyAlignment="1">
      <x:alignment horizontal="center" vertical="center" wrapText="1"/>
    </x:xf>
    <x:xf numFmtId="1" fontId="4" fillId="66" borderId="1" xfId="0" applyNumberFormat="1" applyFont="1" applyFill="1" applyBorder="1" applyAlignment="1">
      <x:alignment horizontal="center" vertical="center" wrapText="1"/>
    </x:xf>
    <x:xf numFmtId="211" fontId="4" fillId="66" borderId="1" xfId="0" applyNumberFormat="1" applyFont="1" applyFill="1" applyBorder="1" applyAlignment="1">
      <x:alignment horizontal="center" vertical="center" wrapText="1"/>
    </x:xf>
    <x:xf numFmtId="0" fontId="4" fillId="66" borderId="1" xfId="0" applyNumberFormat="1" applyFont="1" applyFill="1" applyBorder="1" applyAlignment="1">
      <x:alignment horizontal="center" vertical="center" wrapText="1"/>
    </x:xf>
    <x:xf numFmtId="209" fontId="4" fillId="66" borderId="1" xfId="0" applyNumberFormat="1" applyFont="1" applyFill="1" applyBorder="1" applyAlignment="1">
      <x:alignment horizontal="center" vertical="center" wrapText="1"/>
    </x:xf>
    <x:xf numFmtId="165" fontId="4" fillId="66" borderId="1" xfId="0" applyNumberFormat="1" applyFont="1" applyFill="1" applyBorder="1" applyAlignment="1">
      <x:alignment horizontal="center" vertical="center" wrapText="1"/>
    </x:xf>
    <x:xf numFmtId="0" fontId="5" fillId="65" borderId="0" xfId="0" applyNumberFormat="1" applyFont="1" applyFill="1" applyBorder="1" applyAlignment="1">
      <x:alignment vertical="center"/>
    </x:xf>
    <x:xf numFmtId="0" fontId="3" fillId="67" borderId="4" xfId="0" applyNumberFormat="1" applyFont="1" applyFill="1" applyBorder="1" applyAlignment="1">
      <x:alignment horizontal="center" vertical="center" wrapText="1"/>
    </x:xf>
    <x:xf numFmtId="209" fontId="37" fillId="64" borderId="2" xfId="0" applyNumberFormat="1" applyFont="1" applyFill="1" applyBorder="1" applyAlignment="1">
      <x:alignment vertical="center" wrapText="1"/>
    </x:xf>
    <x:xf numFmtId="207" fontId="37" fillId="64" borderId="2" xfId="0" applyNumberFormat="1" applyFont="1" applyFill="1" applyBorder="1" applyAlignment="1">
      <x:alignment vertical="center" wrapText="1"/>
    </x:xf>
    <x:xf numFmtId="209" fontId="38" fillId="64" borderId="2" xfId="0" applyNumberFormat="1" applyFont="1" applyFill="1" applyBorder="1" applyAlignment="1">
      <x:alignment vertical="center" wrapText="1"/>
    </x:xf>
    <x:xf numFmtId="212" fontId="37" fillId="64" borderId="2" xfId="0" applyNumberFormat="1" applyFont="1" applyFill="1" applyBorder="1" applyAlignment="1">
      <x:alignment vertical="center" wrapText="1"/>
    </x:xf>
    <x:xf numFmtId="165" fontId="37" fillId="64" borderId="2" xfId="0" applyNumberFormat="1" applyFont="1" applyFill="1" applyBorder="1" applyAlignment="1">
      <x:alignment vertical="center" wrapText="1"/>
    </x:xf>
    <x:xf numFmtId="0" fontId="5" fillId="67" borderId="4" xfId="0" applyNumberFormat="1" applyFont="1" applyFill="1" applyBorder="1" applyAlignment="1">
      <x:alignment horizontal="center" vertical="center" wrapText="1"/>
    </x:xf>
    <x:xf numFmtId="209" fontId="22" fillId="64" borderId="0" xfId="0" applyNumberFormat="1" applyFont="1" applyFill="1" applyBorder="1"/>
    <x:xf numFmtId="200" fontId="42" fillId="66" borderId="2" xfId="0" applyNumberFormat="1" applyFont="1" applyFill="1" applyBorder="1" applyAlignment="1">
      <x:alignment vertical="center" wrapText="1"/>
    </x:xf>
    <x:xf numFmtId="209" fontId="43" fillId="66" borderId="0" xfId="0" applyNumberFormat="1" applyFont="1" applyFill="1" applyBorder="1"/>
    <x:xf numFmtId="209" fontId="42" fillId="66" borderId="0" xfId="0" applyNumberFormat="1" applyFont="1" applyFill="1" applyBorder="1" applyAlignment="1">
      <x:alignment vertical="center" wrapText="1"/>
    </x:xf>
    <x:xf numFmtId="209" fontId="39" fillId="66" borderId="0" xfId="0" applyNumberFormat="1" applyFont="1" applyFill="1" applyBorder="1" applyAlignment="1">
      <x:alignment vertical="center" wrapText="1"/>
    </x:xf>
    <x:xf numFmtId="200" fontId="39" fillId="66" borderId="0" xfId="0" applyNumberFormat="1" applyFont="1" applyFill="1" applyBorder="1" applyAlignment="1">
      <x:alignment vertical="center" wrapText="1"/>
    </x:xf>
    <x:xf numFmtId="211" fontId="39" fillId="66" borderId="0" xfId="0" applyNumberFormat="1" applyFont="1" applyFill="1" applyBorder="1" applyAlignment="1">
      <x:alignment vertical="center" wrapText="1"/>
    </x:xf>
    <x:xf numFmtId="164" fontId="39" fillId="66" borderId="0" xfId="0" applyNumberFormat="1" applyFont="1" applyFill="1" applyBorder="1" applyAlignment="1">
      <x:alignment vertical="center" wrapText="1"/>
    </x:xf>
    <x:xf numFmtId="200" fontId="42" fillId="66" borderId="0" xfId="0" applyNumberFormat="1" applyFont="1" applyFill="1" applyBorder="1" applyAlignment="1">
      <x:alignment vertical="center" wrapText="1"/>
    </x:xf>
    <x:xf numFmtId="211" fontId="42" fillId="66" borderId="0" xfId="0" applyNumberFormat="1" applyFont="1" applyFill="1" applyBorder="1" applyAlignment="1">
      <x:alignment vertical="center" wrapText="1"/>
    </x:xf>
    <x:xf numFmtId="164" fontId="42" fillId="66" borderId="0" xfId="0" applyNumberFormat="1" applyFont="1" applyFill="1" applyBorder="1" applyAlignment="1">
      <x:alignment vertical="center" wrapText="1"/>
    </x:xf>
    <x:xf numFmtId="0" fontId="43" fillId="66" borderId="0" xfId="0" applyNumberFormat="1" applyFont="1" applyFill="1" applyBorder="1"/>
    <x:xf numFmtId="207" fontId="47" fillId="66" borderId="0" xfId="0" applyNumberFormat="1" applyFont="1" applyFill="1" applyBorder="1"/>
    <x:xf numFmtId="211" fontId="47" fillId="66" borderId="0" xfId="0" applyNumberFormat="1" applyFont="1" applyFill="1" applyBorder="1"/>
    <x:xf numFmtId="164" fontId="47" fillId="66" borderId="0" xfId="0" applyNumberFormat="1" applyFont="1" applyFill="1" applyBorder="1"/>
    <x:xf numFmtId="0" fontId="47" fillId="66" borderId="0" xfId="0" applyNumberFormat="1" applyFont="1" applyFill="1" applyBorder="1"/>
    <x:xf numFmtId="207" fontId="43" fillId="66" borderId="0" xfId="0" applyNumberFormat="1" applyFont="1" applyFill="1" applyBorder="1"/>
    <x:xf numFmtId="211" fontId="43" fillId="66" borderId="0" xfId="0" applyNumberFormat="1" applyFont="1" applyFill="1" applyBorder="1"/>
    <x:xf numFmtId="164" fontId="43" fillId="66" borderId="0" xfId="0" applyNumberFormat="1" applyFont="1" applyFill="1" applyBorder="1"/>
    <x:xf numFmtId="0" fontId="6" fillId="66" borderId="2" xfId="0" applyNumberFormat="1" applyFont="1" applyFill="1" applyBorder="1" applyAlignment="1">
      <x:alignment vertical="center" wrapText="1"/>
    </x:xf>
    <x:xf numFmtId="211" fontId="40" fillId="66" borderId="2" xfId="0" applyNumberFormat="1" applyFont="1" applyFill="1" applyBorder="1" applyAlignment="1">
      <x:alignment vertical="center" wrapText="1"/>
    </x:xf>
    <x:xf numFmtId="210" fontId="40" fillId="66" borderId="2" xfId="0" applyNumberFormat="1" applyFont="1" applyFill="1" applyBorder="1" applyAlignment="1">
      <x:alignment vertical="center" wrapText="1"/>
    </x:xf>
    <x:xf numFmtId="209" fontId="40" fillId="66" borderId="2" xfId="0" applyNumberFormat="1" applyFont="1" applyFill="1" applyBorder="1" applyAlignment="1">
      <x:alignment vertical="center" wrapText="1"/>
    </x:xf>
    <x:xf numFmtId="10" fontId="6" fillId="66" borderId="2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211" fontId="41" fillId="68" borderId="0" xfId="0" applyNumberFormat="1" applyFont="1" applyFill="1" applyBorder="1"/>
    <x:xf numFmtId="210" fontId="41" fillId="68" borderId="0" xfId="0" applyNumberFormat="1" applyFont="1" applyFill="1" applyBorder="1"/>
    <x:xf numFmtId="209" fontId="41" fillId="68" borderId="0" xfId="0" applyNumberFormat="1" applyFont="1" applyFill="1" applyBorder="1"/>
    <x:xf numFmtId="0" fontId="0" fillId="68" borderId="0" xfId="0" applyNumberFormat="1" applyFont="1" applyFill="1" applyBorder="1" applyAlignment="1">
      <x:alignment wrapText="1"/>
    </x:xf>
    <x:xf numFmtId="1" fontId="3" fillId="63" borderId="2" xfId="0" applyNumberFormat="1" applyFont="1" applyFill="1" applyBorder="1" applyAlignment="1">
      <x:alignment vertical="center" wrapText="1"/>
    </x:xf>
    <x:xf numFmtId="1" fontId="39" fillId="63" borderId="2" xfId="0" applyNumberFormat="1" applyFont="1" applyFill="1" applyBorder="1" applyAlignment="1">
      <x:alignment vertical="center" wrapText="1"/>
    </x:xf>
    <x:xf numFmtId="165" fontId="39" fillId="63" borderId="2" xfId="0" applyNumberFormat="1" applyFont="1" applyFill="1" applyBorder="1" applyAlignment="1">
      <x:alignment vertical="center" wrapText="1"/>
    </x:xf>
    <x:xf numFmtId="164" fontId="39" fillId="63" borderId="2" xfId="0" applyNumberFormat="1" applyFont="1" applyFill="1" applyBorder="1" applyAlignment="1">
      <x:alignment vertical="center" wrapText="1"/>
    </x:xf>
    <x:xf numFmtId="165" fontId="3" fillId="63" borderId="2" xfId="0" applyNumberFormat="1" applyFont="1" applyFill="1" applyBorder="1" applyAlignment="1">
      <x:alignment vertical="center" wrapText="1"/>
    </x:xf>
    <x:xf numFmtId="164" fontId="3" fillId="63" borderId="2" xfId="0" applyNumberFormat="1" applyFont="1" applyFill="1" applyBorder="1" applyAlignment="1">
      <x:alignment vertical="center" wrapText="1"/>
    </x:xf>
    <x:xf numFmtId="0" fontId="44" fillId="68" borderId="0" xfId="0" applyNumberFormat="1" applyFont="1" applyFill="1" applyBorder="1" applyAlignment="1">
      <x:alignment vertical="center" wrapText="1"/>
    </x:xf>
    <x:xf numFmtId="0" fontId="45" fillId="64" borderId="0" xfId="0" applyNumberFormat="1" applyFont="1" applyFill="1" applyBorder="1" applyAlignment="1">
      <x:alignment wrapText="1"/>
    </x:xf>
    <x:xf numFmtId="0" fontId="43" fillId="66" borderId="0" xfId="0" applyNumberFormat="1" applyFont="1" applyFill="1" applyBorder="1" applyAlignment="1">
      <x:alignment wrapText="1"/>
    </x:xf>
    <x:xf numFmtId="209" fontId="47" fillId="66" borderId="0" xfId="0" applyNumberFormat="1" applyFont="1" applyFill="1" applyBorder="1"/>
    <x:xf numFmtId="208" fontId="5" fillId="67" borderId="4" xfId="0" applyNumberFormat="1" applyFont="1" applyFill="1" applyBorder="1" applyAlignment="1">
      <x:alignment horizontal="center" vertical="center" wrapText="1"/>
    </x:xf>
    <x:xf numFmtId="209" fontId="47" fillId="68" borderId="0" xfId="0" applyNumberFormat="1" applyFont="1" applyFill="1" applyBorder="1"/>
    <x:xf numFmtId="0" fontId="48" fillId="68" borderId="0" xfId="0" applyNumberFormat="1" applyFont="1" applyFill="1" applyBorder="1" applyAlignment="1">
      <x:alignment wrapText="1"/>
    </x:xf>
    <x:xf numFmtId="202" fontId="48" fillId="68" borderId="0" xfId="0" applyNumberFormat="1" applyFont="1" applyFill="1" applyBorder="1"/>
    <x:xf numFmtId="0" fontId="48" fillId="68" borderId="0" xfId="0" applyNumberFormat="1" applyFont="1" applyFill="1" applyBorder="1"/>
    <x:xf numFmtId="0" fontId="26" fillId="64" borderId="0" xfId="0" applyNumberFormat="1" applyFont="1" applyFill="1" applyBorder="1" applyAlignment="1">
      <x:alignment vertical="center" wrapText="1"/>
    </x:xf>
    <x:xf numFmtId="0" fontId="49" fillId="69" borderId="0" xfId="0" applyNumberFormat="1" applyFont="1" applyFill="1" applyBorder="1" applyAlignment="1">
      <x:alignment wrapText="1"/>
    </x:xf>
    <x:xf numFmtId="0" fontId="14" fillId="64" borderId="0" xfId="0" applyNumberFormat="1" applyFont="1" applyFill="1" applyBorder="1" applyAlignment="1">
      <x:alignment vertical="center" wrapText="1"/>
    </x:xf>
    <x:xf numFmtId="211" fontId="20" fillId="64" borderId="0" xfId="0" applyNumberFormat="1" applyFont="1" applyFill="1" applyBorder="1" applyAlignment="1">
      <x:alignment vertical="center" wrapText="1"/>
    </x:xf>
    <x:xf numFmtId="211" fontId="14" fillId="64" borderId="0" xfId="0" applyNumberFormat="1" applyFont="1" applyFill="1" applyBorder="1" applyAlignment="1">
      <x:alignment vertical="center" wrapText="1"/>
    </x:xf>
    <x:xf numFmtId="164" fontId="20" fillId="64" borderId="0" xfId="0" applyNumberFormat="1" applyFont="1" applyFill="1" applyBorder="1" applyAlignment="1">
      <x:alignment vertical="center" wrapText="1"/>
    </x:xf>
    <x:xf numFmtId="0" fontId="20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vertical="center" wrapText="1"/>
    </x:xf>
    <x:xf numFmtId="0" fontId="43" fillId="66" borderId="3" xfId="0" applyNumberFormat="1" applyFont="1" applyFill="1" applyBorder="1"/>
    <x:xf numFmtId="207" fontId="43" fillId="66" borderId="3" xfId="0" applyNumberFormat="1" applyFont="1" applyFill="1" applyBorder="1"/>
    <x:xf numFmtId="209" fontId="43" fillId="66" borderId="3" xfId="0" applyNumberFormat="1" applyFont="1" applyFill="1" applyBorder="1"/>
    <x:xf numFmtId="212" fontId="43" fillId="66" borderId="3" xfId="0" applyNumberFormat="1" applyFont="1" applyFill="1" applyBorder="1"/>
    <x:xf numFmtId="211" fontId="47" fillId="66" borderId="3" xfId="0" applyNumberFormat="1" applyFont="1" applyFill="1" applyBorder="1"/>
    <x:xf numFmtId="211" fontId="43" fillId="66" borderId="3" xfId="0" applyNumberFormat="1" applyFont="1" applyFill="1" applyBorder="1"/>
    <x:xf numFmtId="200" fontId="43" fillId="66" borderId="3" xfId="0" applyNumberFormat="1" applyFont="1" applyFill="1" applyBorder="1"/>
    <x:xf numFmtId="200" fontId="43" fillId="66" borderId="3" xfId="0" applyNumberFormat="1" applyFont="1" applyFill="1" applyBorder="1" applyAlignment="1">
      <x:alignment wrapText="1"/>
    </x:xf>
    <x:xf numFmtId="0" fontId="43" fillId="66" borderId="3" xfId="0" applyNumberFormat="1" applyFont="1" applyFill="1" applyBorder="1" applyAlignment="1">
      <x:alignment wrapText="1"/>
    </x:xf>
    <x:xf numFmtId="0" fontId="45" fillId="70" borderId="0" xfId="0" applyNumberFormat="1" applyFont="1" applyFill="1" applyBorder="1" applyAlignment="1">
      <x:alignment wrapText="1"/>
    </x:xf>
    <x:xf numFmtId="0" fontId="5" fillId="63" borderId="0" xfId="0" applyNumberFormat="1" applyFont="1" applyFill="1" applyBorder="1"/>
    <x:xf numFmtId="0" fontId="47" fillId="63" borderId="0" xfId="0" applyNumberFormat="1" applyFont="1" applyFill="1" applyBorder="1"/>
    <x:xf numFmtId="0" fontId="28" fillId="63" borderId="0" xfId="0" applyNumberFormat="1" applyFont="1" applyFill="1" applyBorder="1" applyAlignment="1">
      <x:alignment vertical="center"/>
    </x:xf>
    <x:xf numFmtId="0" fontId="50" fillId="64" borderId="0" xfId="0" applyNumberFormat="1" applyFont="1" applyFill="1" applyBorder="1" applyAlignment="1">
      <x:alignment vertical="center" wrapText="1"/>
    </x:xf>
    <x:xf numFmtId="0" fontId="30" fillId="65" borderId="0" xfId="0" applyNumberFormat="1" applyFont="1" applyFill="1" applyBorder="1" applyAlignment="1">
      <x:alignment vertical="center"/>
    </x:xf>
    <x:xf numFmtId="0" fontId="31" fillId="67" borderId="4" xfId="0" applyNumberFormat="1" applyFont="1" applyFill="1" applyBorder="1" applyAlignment="1">
      <x:alignment horizontal="center" vertical="center" wrapText="1"/>
    </x:xf>
    <x:xf numFmtId="209" fontId="53" fillId="66" borderId="0" xfId="0" applyNumberFormat="1" applyFont="1" applyFill="1" applyBorder="1" applyAlignment="1">
      <x:alignment vertical="center"/>
    </x:xf>
    <x:xf numFmtId="209" fontId="33" fillId="66" borderId="0" xfId="0" applyNumberFormat="1" applyFont="1" applyFill="1" applyBorder="1" applyAlignment="1">
      <x:alignment vertical="center"/>
    </x:xf>
    <x:xf numFmtId="0" fontId="27" fillId="69" borderId="0" xfId="0" applyNumberFormat="1" applyFont="1" applyFill="1" applyBorder="1" applyAlignment="1">
      <x:alignment vertical="center" wrapText="1"/>
    </x:xf>
    <x:xf numFmtId="164" fontId="54" fillId="64" borderId="0" xfId="0" applyNumberFormat="1" applyFont="1" applyFill="1" applyBorder="1" applyAlignment="1">
      <x:alignment vertical="center" wrapText="1"/>
    </x:xf>
    <x:xf numFmtId="0" fontId="34" fillId="66" borderId="0" xfId="0" applyNumberFormat="1" applyFont="1" applyFill="1" applyBorder="1" applyAlignment="1">
      <x:alignment vertical="center" wrapText="1"/>
    </x:xf>
    <x:xf numFmtId="164" fontId="34" fillId="66" borderId="0" xfId="0" applyNumberFormat="1" applyFont="1" applyFill="1" applyBorder="1" applyAlignment="1">
      <x:alignment vertical="center" wrapText="1"/>
    </x:xf>
    <x:xf numFmtId="209" fontId="56" fillId="66" borderId="0" xfId="0" applyNumberFormat="1" applyFont="1" applyFill="1" applyBorder="1" applyAlignment="1">
      <x:alignment vertical="center" wrapText="1"/>
    </x:xf>
    <x:xf numFmtId="210" fontId="56" fillId="66" borderId="0" xfId="0" applyNumberFormat="1" applyFont="1" applyFill="1" applyBorder="1" applyAlignment="1">
      <x:alignment vertical="center" wrapText="1"/>
    </x:xf>
    <x:xf numFmtId="209" fontId="34" fillId="66" borderId="0" xfId="0" applyNumberFormat="1" applyFont="1" applyFill="1" applyBorder="1" applyAlignment="1">
      <x:alignment vertical="center" wrapText="1"/>
    </x:xf>
    <x:xf numFmtId="210" fontId="34" fillId="66" borderId="0" xfId="0" applyNumberFormat="1" applyFont="1" applyFill="1" applyBorder="1" applyAlignment="1">
      <x:alignment vertical="center" wrapText="1"/>
    </x:xf>
    <x:xf numFmtId="209" fontId="56" fillId="9" borderId="0" xfId="0" applyNumberFormat="1" applyFont="1" applyFill="1" applyBorder="1" applyAlignment="1">
      <x:alignment vertical="center" wrapText="1"/>
    </x:xf>
    <x:xf numFmtId="209" fontId="56" fillId="2" borderId="0" xfId="0" applyNumberFormat="1" applyFont="1" applyFill="1" applyBorder="1" applyAlignment="1">
      <x:alignment vertical="center" wrapText="1"/>
    </x:xf>
    <x:xf numFmtId="211" fontId="56" fillId="9" borderId="0" xfId="0" applyNumberFormat="1" applyFont="1" applyFill="1" applyBorder="1" applyAlignment="1">
      <x:alignment vertical="center" wrapText="1"/>
    </x:xf>
    <x:xf numFmtId="211" fontId="56" fillId="5" borderId="0" xfId="0" applyNumberFormat="1" applyFont="1" applyFill="1" applyBorder="1" applyAlignment="1">
      <x:alignment vertical="center" wrapText="1"/>
    </x:xf>
    <x:xf numFmtId="211" fontId="56" fillId="2" borderId="0" xfId="0" applyNumberFormat="1" applyFont="1" applyFill="1" applyBorder="1" applyAlignment="1">
      <x:alignment vertical="center" wrapText="1"/>
    </x:xf>
    <x:xf numFmtId="0" fontId="59" fillId="69" borderId="0" xfId="0" applyNumberFormat="1" applyFont="1" applyFill="1" applyBorder="1" applyAlignment="1">
      <x:alignment vertical="center" wrapText="1"/>
    </x:xf>
    <x:xf numFmtId="211" fontId="56" fillId="69" borderId="0" xfId="0" applyNumberFormat="1" applyFont="1" applyFill="1" applyBorder="1" applyAlignment="1">
      <x:alignment vertical="center" wrapText="1"/>
    </x:xf>
    <x:xf numFmtId="209" fontId="56" fillId="69" borderId="0" xfId="0" applyNumberFormat="1" applyFont="1" applyFill="1" applyBorder="1" applyAlignment="1">
      <x:alignment vertical="center" wrapText="1"/>
    </x:xf>
    <x:xf numFmtId="209" fontId="59" fillId="69" borderId="0" xfId="0" applyNumberFormat="1" applyFont="1" applyFill="1" applyBorder="1" applyAlignment="1">
      <x:alignment vertical="center" wrapText="1"/>
    </x:xf>
    <x:xf numFmtId="211" fontId="59" fillId="69" borderId="0" xfId="0" applyNumberFormat="1" applyFont="1" applyFill="1" applyBorder="1" applyAlignment="1">
      <x:alignment vertical="center" wrapText="1"/>
    </x:xf>
    <x:xf numFmtId="211" fontId="56" fillId="66" borderId="0" xfId="0" applyNumberFormat="1" applyFont="1" applyFill="1" applyBorder="1" applyAlignment="1">
      <x:alignment vertical="center" wrapText="1"/>
    </x:xf>
    <x:xf numFmtId="211" fontId="34" fillId="66" borderId="0" xfId="0" applyNumberFormat="1" applyFont="1" applyFill="1" applyBorder="1" applyAlignment="1">
      <x:alignment vertical="center" wrapText="1"/>
    </x:xf>
    <x:xf numFmtId="0" fontId="60" fillId="63" borderId="0" xfId="0" applyNumberFormat="1" applyFont="1" applyFill="1" applyBorder="1" applyAlignment="1">
      <x:alignment vertical="center" wrapText="1"/>
    </x:xf>
    <x:xf numFmtId="211" fontId="56" fillId="63" borderId="0" xfId="0" applyNumberFormat="1" applyFont="1" applyFill="1" applyBorder="1" applyAlignment="1">
      <x:alignment vertical="center" wrapText="1"/>
    </x:xf>
    <x:xf numFmtId="209" fontId="56" fillId="63" borderId="0" xfId="0" applyNumberFormat="1" applyFont="1" applyFill="1" applyBorder="1" applyAlignment="1">
      <x:alignment vertical="center" wrapText="1"/>
    </x:xf>
    <x:xf numFmtId="211" fontId="60" fillId="63" borderId="0" xfId="0" applyNumberFormat="1" applyFont="1" applyFill="1" applyBorder="1" applyAlignment="1">
      <x:alignment vertical="center" wrapText="1"/>
    </x:xf>
    <x:xf numFmtId="209" fontId="60" fillId="63" borderId="0" xfId="0" applyNumberFormat="1" applyFont="1" applyFill="1" applyBorder="1" applyAlignment="1">
      <x:alignment vertical="center" wrapText="1"/>
    </x:xf>
    <x:xf numFmtId="0" fontId="27" fillId="71" borderId="5" xfId="0" applyNumberFormat="1" applyFont="1" applyFill="1" applyBorder="1" applyAlignment="1">
      <x:alignment vertical="center" wrapText="1"/>
    </x:xf>
    <x:xf numFmtId="209" fontId="35" fillId="71" borderId="6" xfId="0" applyNumberFormat="1" applyFont="1" applyFill="1" applyBorder="1" applyAlignment="1">
      <x:alignment vertical="center" wrapText="1"/>
    </x:xf>
    <x:xf numFmtId="0" fontId="27" fillId="71" borderId="6" xfId="0" applyNumberFormat="1" applyFont="1" applyFill="1" applyBorder="1" applyAlignment="1">
      <x:alignment vertical="center" wrapText="1"/>
    </x:xf>
    <x:xf numFmtId="0" fontId="32" fillId="71" borderId="6" xfId="0" applyNumberFormat="1" applyFont="1" applyFill="1" applyBorder="1" applyAlignment="1">
      <x:alignment vertical="center" wrapText="1"/>
    </x:xf>
    <x:xf numFmtId="0" fontId="32" fillId="71" borderId="7" xfId="0" applyNumberFormat="1" applyFont="1" applyFill="1" applyBorder="1" applyAlignment="1">
      <x:alignment vertical="center" wrapText="1"/>
    </x:xf>
    <x:xf numFmtId="0" fontId="30" fillId="67" borderId="4" xfId="0" applyNumberFormat="1" applyFont="1" applyFill="1" applyBorder="1" applyAlignment="1">
      <x:alignment horizontal="center" vertical="center" wrapText="1"/>
    </x:xf>
    <x:xf numFmtId="0" fontId="30" fillId="67" borderId="8" xfId="0" applyNumberFormat="1" applyFont="1" applyFill="1" applyBorder="1" applyAlignment="1">
      <x:alignment horizontal="center" vertical="center" wrapText="1"/>
    </x:xf>
    <x:xf numFmtId="207" fontId="51" fillId="9" borderId="0" xfId="0" applyNumberFormat="1" applyFont="1" applyFill="1" applyBorder="1" applyAlignment="1">
      <x:alignment vertical="center" wrapText="1"/>
    </x:xf>
    <x:xf numFmtId="211" fontId="51" fillId="9" borderId="0" xfId="0" applyNumberFormat="1" applyFont="1" applyFill="1" applyBorder="1" applyAlignment="1">
      <x:alignment vertical="center" wrapText="1"/>
    </x:xf>
    <x:xf numFmtId="164" fontId="51" fillId="9" borderId="0" xfId="0" applyNumberFormat="1" applyFont="1" applyFill="1" applyBorder="1" applyAlignment="1">
      <x:alignment vertical="center" wrapText="1"/>
    </x:xf>
    <x:xf numFmtId="207" fontId="23" fillId="9" borderId="0" xfId="0" applyNumberFormat="1" applyFont="1" applyFill="1" applyBorder="1"/>
    <x:xf numFmtId="211" fontId="23" fillId="9" borderId="0" xfId="0" applyNumberFormat="1" applyFont="1" applyFill="1" applyBorder="1"/>
    <x:xf numFmtId="164" fontId="23" fillId="9" borderId="0" xfId="0" applyNumberFormat="1" applyFont="1" applyFill="1" applyBorder="1"/>
    <x:xf numFmtId="207" fontId="23" fillId="8" borderId="0" xfId="0" applyNumberFormat="1" applyFont="1" applyFill="1" applyBorder="1"/>
    <x:xf numFmtId="211" fontId="23" fillId="8" borderId="0" xfId="0" applyNumberFormat="1" applyFont="1" applyFill="1" applyBorder="1"/>
    <x:xf numFmtId="164" fontId="23" fillId="8" borderId="0" xfId="0" applyNumberFormat="1" applyFont="1" applyFill="1" applyBorder="1"/>
    <x:xf numFmtId="0" fontId="43" fillId="66" borderId="10" xfId="0" applyNumberFormat="1" applyFont="1" applyFill="1" applyBorder="1" applyAlignment="1">
      <x:alignment wrapText="1"/>
    </x:xf>
    <x:xf numFmtId="207" fontId="51" fillId="69" borderId="0" xfId="0" applyNumberFormat="1" applyFont="1" applyFill="1" applyBorder="1" applyAlignment="1">
      <x:alignment vertical="center" wrapText="1"/>
    </x:xf>
    <x:xf numFmtId="211" fontId="51" fillId="69" borderId="0" xfId="0" applyNumberFormat="1" applyFont="1" applyFill="1" applyBorder="1" applyAlignment="1">
      <x:alignment vertical="center" wrapText="1"/>
    </x:xf>
    <x:xf numFmtId="164" fontId="51" fillId="69" borderId="0" xfId="0" applyNumberFormat="1" applyFont="1" applyFill="1" applyBorder="1" applyAlignment="1">
      <x:alignment vertical="center" wrapText="1"/>
    </x:xf>
    <x:xf numFmtId="0" fontId="59" fillId="69" borderId="9" xfId="0" applyNumberFormat="1" applyFont="1" applyFill="1" applyBorder="1" applyAlignment="1">
      <x:alignment vertical="center" wrapText="1"/>
    </x:xf>
    <x:xf numFmtId="0" fontId="0" fillId="69" borderId="0" xfId="0" applyNumberFormat="1" applyFont="1" applyFill="1" applyBorder="1"/>
    <x:xf numFmtId="207" fontId="23" fillId="69" borderId="0" xfId="0" applyNumberFormat="1" applyFont="1" applyFill="1" applyBorder="1"/>
    <x:xf numFmtId="211" fontId="23" fillId="69" borderId="0" xfId="0" applyNumberFormat="1" applyFont="1" applyFill="1" applyBorder="1"/>
    <x:xf numFmtId="164" fontId="23" fillId="69" borderId="0" xfId="0" applyNumberFormat="1" applyFont="1" applyFill="1" applyBorder="1"/>
    <x:xf numFmtId="0" fontId="0" fillId="69" borderId="9" xfId="0" applyNumberFormat="1" applyFont="1" applyFill="1" applyBorder="1" applyAlignment="1">
      <x:alignment wrapText="1"/>
    </x:xf>
    <x:xf numFmtId="207" fontId="23" fillId="68" borderId="0" xfId="0" applyNumberFormat="1" applyFont="1" applyFill="1" applyBorder="1"/>
    <x:xf numFmtId="211" fontId="23" fillId="68" borderId="0" xfId="0" applyNumberFormat="1" applyFont="1" applyFill="1" applyBorder="1"/>
    <x:xf numFmtId="164" fontId="23" fillId="68" borderId="0" xfId="0" applyNumberFormat="1" applyFont="1" applyFill="1" applyBorder="1"/>
    <x:xf numFmtId="0" fontId="0" fillId="68" borderId="9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7" borderId="0" xfId="0" applyNumberFormat="1" applyFont="1" applyFill="1" applyBorder="1"/>
    <x:xf numFmtId="0" fontId="5" fillId="67" borderId="0" xfId="0" applyNumberFormat="1" applyFont="1" applyFill="1" applyBorder="1"/>
    <x:xf numFmtId="0" fontId="5" fillId="67" borderId="4" xfId="0" applyNumberFormat="1" applyFont="1" applyFill="1" applyBorder="1"/>
    <x:xf numFmtId="0" fontId="5" fillId="67" borderId="4" xfId="0" applyNumberFormat="1" applyFont="1" applyFill="1" applyBorder="1" applyAlignment="1">
      <x:alignment wrapText="1"/>
    </x:xf>
    <x:xf numFmtId="0" fontId="5" fillId="67" borderId="4" xfId="0" applyNumberFormat="1" applyFont="1" applyFill="1" applyBorder="1" applyAlignment="1">
      <x:alignment horizontal="center" wrapText="1"/>
    </x:xf>
    <x:xf numFmtId="207" fontId="23" fillId="0" borderId="0" xfId="0" applyNumberFormat="1" applyFont="1" applyFill="1" applyBorder="1"/>
    <x:xf numFmtId="207" fontId="41" fillId="0" borderId="0" xfId="0" applyNumberFormat="1" applyFont="1" applyFill="1" applyBorder="1"/>
    <x:xf numFmtId="212" fontId="23" fillId="0" borderId="0" xfId="0" applyNumberFormat="1" applyFont="1" applyFill="1" applyBorder="1"/>
    <x:xf numFmtId="0" fontId="41" fillId="69" borderId="0" xfId="0" applyNumberFormat="1" applyFont="1" applyFill="1" applyBorder="1"/>
    <x:xf numFmtId="0" fontId="49" fillId="69" borderId="0" xfId="0" applyNumberFormat="1" applyFont="1" applyFill="1" applyBorder="1"/>
    <x:xf numFmtId="0" fontId="0" fillId="66" borderId="0" xfId="0" applyNumberFormat="1" applyFont="1" applyFill="1" applyBorder="1"/>
    <x:xf numFmtId="0" fontId="23" fillId="66" borderId="0" xfId="0" applyNumberFormat="1" applyFont="1" applyFill="1" applyBorder="1"/>
    <x:xf numFmtId="0" fontId="41" fillId="68" borderId="0" xfId="0" applyNumberFormat="1" applyFont="1" applyFill="1" applyBorder="1"/>
    <x:xf numFmtId="164" fontId="49" fillId="69" borderId="0" xfId="0" applyNumberFormat="1" applyFont="1" applyFill="1" applyBorder="1"/>
    <x:xf numFmtId="212" fontId="48" fillId="68" borderId="0" xfId="0" applyNumberFormat="1" applyFont="1" applyFill="1" applyBorder="1"/>
    <x:xf numFmtId="209" fontId="48" fillId="68" borderId="0" xfId="0" applyNumberFormat="1" applyFont="1" applyFill="1" applyBorder="1"/>
    <x:xf numFmtId="0" fontId="0" fillId="64" borderId="0" xfId="0" applyNumberFormat="1" applyFont="1" applyFill="1" applyBorder="1"/>
    <x:xf numFmtId="0" fontId="22" fillId="64" borderId="0" xfId="0" applyNumberFormat="1" applyFont="1" applyFill="1" applyBorder="1"/>
    <x:xf numFmtId="0" fontId="41" fillId="66" borderId="0" xfId="0" applyNumberFormat="1" applyFont="1" applyFill="1" applyBorder="1"/>
    <x:xf numFmtId="207" fontId="22" fillId="64" borderId="0" xfId="0" applyNumberFormat="1" applyFont="1" applyFill="1" applyBorder="1"/>
    <x:xf numFmtId="164" fontId="22" fillId="64" borderId="0" xfId="0" applyNumberFormat="1" applyFont="1" applyFill="1" applyBorder="1"/>
    <x:xf numFmtId="0" fontId="0" fillId="66" borderId="0" xfId="0" applyNumberFormat="1" applyFont="1" applyFill="1" applyBorder="1" applyAlignment="1">
      <x:alignment wrapText="1"/>
    </x:xf>
    <x:xf numFmtId="211" fontId="23" fillId="0" borderId="0" xfId="0" applyNumberFormat="1" applyFont="1" applyFill="1" applyBorder="1"/>
    <x:xf numFmtId="210" fontId="23" fillId="0" borderId="0" xfId="0" applyNumberFormat="1" applyFont="1" applyFill="1" applyBorder="1"/>
    <x:xf numFmtId="210" fontId="43" fillId="66" borderId="0" xfId="0" applyNumberFormat="1" applyFont="1" applyFill="1" applyBorder="1"/>
    <x:xf numFmtId="0" fontId="5" fillId="65" borderId="0" xfId="0" applyNumberFormat="1" applyFont="1" applyFill="1" applyBorder="1" applyAlignment="1">
      <x:alignment wrapText="1"/>
    </x:xf>
    <x:xf numFmtId="164" fontId="57" fillId="65" borderId="0" xfId="0" applyNumberFormat="1" applyFont="1" applyFill="1" applyBorder="1" applyAlignment="1">
      <x:alignment vertical="center"/>
    </x:xf>
    <x:xf numFmtId="164" fontId="30" fillId="65" borderId="0" xfId="0" applyNumberFormat="1" applyFont="1" applyFill="1" applyBorder="1" applyAlignment="1">
      <x:alignment vertical="center"/>
    </x:xf>
    <x:xf numFmtId="200" fontId="6" fillId="71" borderId="2" xfId="0" applyNumberFormat="1" applyFont="1" applyFill="1" applyBorder="1" applyAlignment="1">
      <x:alignment vertical="center" wrapText="1"/>
    </x:xf>
    <x:xf numFmtId="0" fontId="0" fillId="71" borderId="0" xfId="0" applyNumberFormat="1" applyFont="1" applyFill="1" applyBorder="1"/>
    <x:xf numFmtId="0" fontId="7" fillId="71" borderId="0" xfId="0" applyNumberFormat="1" applyFont="1" applyFill="1" applyBorder="1" applyAlignment="1">
      <x:alignment vertical="center" wrapText="1"/>
    </x:xf>
    <x:xf numFmtId="164" fontId="6" fillId="71" borderId="2" xfId="0" applyNumberFormat="1" applyFont="1" applyFill="1" applyBorder="1" applyAlignment="1">
      <x:alignment vertical="center" wrapText="1"/>
    </x:xf>
    <x:xf numFmtId="164" fontId="0" fillId="71" borderId="0" xfId="0" applyNumberFormat="1" applyFont="1" applyFill="1" applyBorder="1"/>
    <x:xf numFmtId="0" fontId="16" fillId="71" borderId="0" xfId="0" applyNumberFormat="1" applyFont="1" applyFill="1" applyBorder="1" applyAlignment="1">
      <x:alignment wrapText="1"/>
    </x:xf>
    <x:xf numFmtId="207" fontId="23" fillId="0" borderId="0" xfId="0" applyNumberFormat="1" applyFont="1" applyFill="1" applyBorder="1" applyAlignment="1">
      <x:alignment wrapText="1"/>
    </x:xf>
    <x:xf numFmtId="207" fontId="41" fillId="0" borderId="0" xfId="0" applyNumberFormat="1" applyFont="1" applyFill="1" applyBorder="1" applyAlignment="1">
      <x:alignment wrapText="1"/>
    </x:xf>
    <x:xf numFmtId="209" fontId="23" fillId="0" borderId="0" xfId="0" applyNumberFormat="1" applyFont="1" applyFill="1" applyBorder="1" applyAlignment="1">
      <x:alignment wrapText="1"/>
    </x:xf>
    <x:xf numFmtId="212" fontId="23" fillId="0" borderId="0" xfId="0" applyNumberFormat="1" applyFont="1" applyFill="1" applyBorder="1" applyAlignment="1">
      <x:alignment wrapText="1"/>
    </x:xf>
    <x:xf numFmtId="209" fontId="41" fillId="0" borderId="0" xfId="0" applyNumberFormat="1" applyFont="1" applyFill="1" applyBorder="1" applyAlignment="1">
      <x:alignment wrapText="1"/>
    </x:xf>
    <x:xf numFmtId="211" fontId="41" fillId="0" borderId="0" xfId="0" applyNumberFormat="1" applyFont="1" applyFill="1" applyBorder="1" applyAlignment="1">
      <x:alignment wrapText="1"/>
    </x:xf>
    <x:xf numFmtId="164" fontId="49" fillId="69" borderId="0" xfId="0" applyNumberFormat="1" applyFont="1" applyFill="1" applyBorder="1" applyAlignment="1">
      <x:alignment wrapText="1"/>
    </x:xf>
    <x:xf numFmtId="164" fontId="43" fillId="66" borderId="0" xfId="0" applyNumberFormat="1" applyFont="1" applyFill="1" applyBorder="1" applyAlignment="1">
      <x:alignment wrapText="1"/>
    </x:xf>
    <x:xf numFmtId="212" fontId="48" fillId="68" borderId="0" xfId="0" applyNumberFormat="1" applyFont="1" applyFill="1" applyBorder="1" applyAlignment="1">
      <x:alignment wrapText="1"/>
    </x:xf>
    <x:xf numFmtId="209" fontId="48" fillId="68" borderId="0" xfId="0" applyNumberFormat="1" applyFont="1" applyFill="1" applyBorder="1" applyAlignment="1">
      <x:alignment wrapText="1"/>
    </x:xf>
    <x:xf numFmtId="207" fontId="22" fillId="64" borderId="0" xfId="0" applyNumberFormat="1" applyFont="1" applyFill="1" applyBorder="1" applyAlignment="1">
      <x:alignment wrapText="1"/>
    </x:xf>
    <x:xf numFmtId="209" fontId="22" fillId="64" borderId="0" xfId="0" applyNumberFormat="1" applyFont="1" applyFill="1" applyBorder="1" applyAlignment="1">
      <x:alignment wrapText="1"/>
    </x:xf>
    <x:xf numFmtId="164" fontId="22" fillId="64" borderId="0" xfId="0" applyNumberFormat="1" applyFont="1" applyFill="1" applyBorder="1" applyAlignment="1">
      <x:alignment wrapText="1"/>
    </x:xf>
    <x:xf numFmtId="209" fontId="43" fillId="66" borderId="0" xfId="0" applyNumberFormat="1" applyFont="1" applyFill="1" applyBorder="1" applyAlignment="1">
      <x:alignment wrapText="1"/>
    </x:xf>
    <x:xf numFmtId="0" fontId="1" fillId="72" borderId="0" xfId="0" applyNumberFormat="1" applyFont="1" applyFill="1" applyBorder="1" applyAlignment="1">
      <x:alignment vertical="center"/>
    </x:xf>
    <x:xf numFmtId="0" fontId="36" fillId="73" borderId="0" xfId="0" applyNumberFormat="1" applyFont="1" applyFill="1" applyBorder="1" applyAlignment="1">
      <x:alignment vertical="center" wrapText="1"/>
    </x:xf>
    <x:xf numFmtId="0" fontId="3" fillId="74" borderId="1" xfId="0" applyNumberFormat="1" applyFont="1" applyFill="1" applyBorder="1" applyAlignment="1">
      <x:alignment horizontal="center" vertical="center" wrapText="1"/>
    </x:xf>
    <x:xf numFmtId="164" fontId="4" fillId="75" borderId="1" xfId="0" applyNumberFormat="1" applyFont="1" applyFill="1" applyBorder="1" applyAlignment="1">
      <x:alignment horizontal="center" vertical="center" wrapText="1"/>
    </x:xf>
    <x:xf numFmtId="1" fontId="4" fillId="75" borderId="1" xfId="0" applyNumberFormat="1" applyFont="1" applyFill="1" applyBorder="1" applyAlignment="1">
      <x:alignment horizontal="center" vertical="center" wrapText="1"/>
    </x:xf>
    <x:xf numFmtId="211" fontId="4" fillId="75" borderId="1" xfId="0" applyNumberFormat="1" applyFont="1" applyFill="1" applyBorder="1" applyAlignment="1">
      <x:alignment horizontal="center" vertical="center" wrapText="1"/>
    </x:xf>
    <x:xf numFmtId="0" fontId="4" fillId="75" borderId="1" xfId="0" applyNumberFormat="1" applyFont="1" applyFill="1" applyBorder="1" applyAlignment="1">
      <x:alignment horizontal="center" vertical="center" wrapText="1"/>
    </x:xf>
    <x:xf numFmtId="209" fontId="4" fillId="75" borderId="1" xfId="0" applyNumberFormat="1" applyFont="1" applyFill="1" applyBorder="1" applyAlignment="1">
      <x:alignment horizontal="center" vertical="center" wrapText="1"/>
    </x:xf>
    <x:xf numFmtId="165" fontId="4" fillId="75" borderId="1" xfId="0" applyNumberFormat="1" applyFont="1" applyFill="1" applyBorder="1" applyAlignment="1">
      <x:alignment horizontal="center" vertical="center" wrapText="1"/>
    </x:xf>
    <x:xf numFmtId="0" fontId="5" fillId="74" borderId="0" xfId="0" applyNumberFormat="1" applyFont="1" applyFill="1" applyBorder="1" applyAlignment="1">
      <x:alignment vertical="center"/>
    </x:xf>
    <x:xf numFmtId="0" fontId="3" fillId="76" borderId="4" xfId="0" applyNumberFormat="1" applyFont="1" applyFill="1" applyBorder="1" applyAlignment="1">
      <x:alignment horizontal="center" vertical="center" wrapText="1"/>
    </x:xf>
    <x:xf numFmtId="209" fontId="37" fillId="73" borderId="2" xfId="0" applyNumberFormat="1" applyFont="1" applyFill="1" applyBorder="1" applyAlignment="1">
      <x:alignment vertical="center" wrapText="1"/>
    </x:xf>
    <x:xf numFmtId="207" fontId="37" fillId="73" borderId="2" xfId="0" applyNumberFormat="1" applyFont="1" applyFill="1" applyBorder="1" applyAlignment="1">
      <x:alignment vertical="center" wrapText="1"/>
    </x:xf>
    <x:xf numFmtId="209" fontId="38" fillId="73" borderId="2" xfId="0" applyNumberFormat="1" applyFont="1" applyFill="1" applyBorder="1" applyAlignment="1">
      <x:alignment vertical="center" wrapText="1"/>
    </x:xf>
    <x:xf numFmtId="212" fontId="37" fillId="73" borderId="2" xfId="0" applyNumberFormat="1" applyFont="1" applyFill="1" applyBorder="1" applyAlignment="1">
      <x:alignment vertical="center" wrapText="1"/>
    </x:xf>
    <x:xf numFmtId="165" fontId="37" fillId="73" borderId="2" xfId="0" applyNumberFormat="1" applyFont="1" applyFill="1" applyBorder="1" applyAlignment="1">
      <x:alignment vertical="center" wrapText="1"/>
    </x:xf>
    <x:xf numFmtId="0" fontId="5" fillId="76" borderId="4" xfId="0" applyNumberFormat="1" applyFont="1" applyFill="1" applyBorder="1" applyAlignment="1">
      <x:alignment horizontal="center" vertical="center" wrapText="1"/>
    </x:xf>
    <x:xf numFmtId="209" fontId="22" fillId="73" borderId="0" xfId="0" applyNumberFormat="1" applyFont="1" applyFill="1" applyBorder="1"/>
    <x:xf numFmtId="200" fontId="42" fillId="75" borderId="2" xfId="0" applyNumberFormat="1" applyFont="1" applyFill="1" applyBorder="1" applyAlignment="1">
      <x:alignment vertical="center" wrapText="1"/>
    </x:xf>
    <x:xf numFmtId="209" fontId="43" fillId="75" borderId="0" xfId="0" applyNumberFormat="1" applyFont="1" applyFill="1" applyBorder="1"/>
    <x:xf numFmtId="209" fontId="42" fillId="75" borderId="0" xfId="0" applyNumberFormat="1" applyFont="1" applyFill="1" applyBorder="1" applyAlignment="1">
      <x:alignment vertical="center" wrapText="1"/>
    </x:xf>
    <x:xf numFmtId="209" fontId="39" fillId="75" borderId="0" xfId="0" applyNumberFormat="1" applyFont="1" applyFill="1" applyBorder="1" applyAlignment="1">
      <x:alignment vertical="center" wrapText="1"/>
    </x:xf>
    <x:xf numFmtId="200" fontId="39" fillId="75" borderId="0" xfId="0" applyNumberFormat="1" applyFont="1" applyFill="1" applyBorder="1" applyAlignment="1">
      <x:alignment vertical="center" wrapText="1"/>
    </x:xf>
    <x:xf numFmtId="211" fontId="39" fillId="75" borderId="0" xfId="0" applyNumberFormat="1" applyFont="1" applyFill="1" applyBorder="1" applyAlignment="1">
      <x:alignment vertical="center" wrapText="1"/>
    </x:xf>
    <x:xf numFmtId="164" fontId="39" fillId="75" borderId="0" xfId="0" applyNumberFormat="1" applyFont="1" applyFill="1" applyBorder="1" applyAlignment="1">
      <x:alignment vertical="center" wrapText="1"/>
    </x:xf>
    <x:xf numFmtId="200" fontId="42" fillId="75" borderId="0" xfId="0" applyNumberFormat="1" applyFont="1" applyFill="1" applyBorder="1" applyAlignment="1">
      <x:alignment vertical="center" wrapText="1"/>
    </x:xf>
    <x:xf numFmtId="211" fontId="42" fillId="75" borderId="0" xfId="0" applyNumberFormat="1" applyFont="1" applyFill="1" applyBorder="1" applyAlignment="1">
      <x:alignment vertical="center" wrapText="1"/>
    </x:xf>
    <x:xf numFmtId="164" fontId="42" fillId="75" borderId="0" xfId="0" applyNumberFormat="1" applyFont="1" applyFill="1" applyBorder="1" applyAlignment="1">
      <x:alignment vertical="center" wrapText="1"/>
    </x:xf>
    <x:xf numFmtId="0" fontId="43" fillId="75" borderId="0" xfId="0" applyNumberFormat="1" applyFont="1" applyFill="1" applyBorder="1"/>
    <x:xf numFmtId="207" fontId="47" fillId="75" borderId="0" xfId="0" applyNumberFormat="1" applyFont="1" applyFill="1" applyBorder="1"/>
    <x:xf numFmtId="211" fontId="47" fillId="75" borderId="0" xfId="0" applyNumberFormat="1" applyFont="1" applyFill="1" applyBorder="1"/>
    <x:xf numFmtId="164" fontId="47" fillId="75" borderId="0" xfId="0" applyNumberFormat="1" applyFont="1" applyFill="1" applyBorder="1"/>
    <x:xf numFmtId="0" fontId="47" fillId="75" borderId="0" xfId="0" applyNumberFormat="1" applyFont="1" applyFill="1" applyBorder="1"/>
    <x:xf numFmtId="207" fontId="43" fillId="75" borderId="0" xfId="0" applyNumberFormat="1" applyFont="1" applyFill="1" applyBorder="1"/>
    <x:xf numFmtId="211" fontId="43" fillId="75" borderId="0" xfId="0" applyNumberFormat="1" applyFont="1" applyFill="1" applyBorder="1"/>
    <x:xf numFmtId="164" fontId="43" fillId="75" borderId="0" xfId="0" applyNumberFormat="1" applyFont="1" applyFill="1" applyBorder="1"/>
    <x:xf numFmtId="0" fontId="6" fillId="75" borderId="2" xfId="0" applyNumberFormat="1" applyFont="1" applyFill="1" applyBorder="1" applyAlignment="1">
      <x:alignment vertical="center" wrapText="1"/>
    </x:xf>
    <x:xf numFmtId="211" fontId="40" fillId="75" borderId="2" xfId="0" applyNumberFormat="1" applyFont="1" applyFill="1" applyBorder="1" applyAlignment="1">
      <x:alignment vertical="center" wrapText="1"/>
    </x:xf>
    <x:xf numFmtId="210" fontId="40" fillId="75" borderId="2" xfId="0" applyNumberFormat="1" applyFont="1" applyFill="1" applyBorder="1" applyAlignment="1">
      <x:alignment vertical="center" wrapText="1"/>
    </x:xf>
    <x:xf numFmtId="209" fontId="40" fillId="75" borderId="2" xfId="0" applyNumberFormat="1" applyFont="1" applyFill="1" applyBorder="1" applyAlignment="1">
      <x:alignment vertical="center" wrapText="1"/>
    </x:xf>
    <x:xf numFmtId="10" fontId="6" fillId="75" borderId="2" xfId="0" applyNumberFormat="1" applyFont="1" applyFill="1" applyBorder="1" applyAlignment="1">
      <x:alignment vertical="center" wrapText="1"/>
    </x:xf>
    <x:xf numFmtId="0" fontId="0" fillId="77" borderId="0" xfId="0" applyNumberFormat="1" applyFont="1" applyFill="1" applyBorder="1"/>
    <x:xf numFmtId="211" fontId="41" fillId="77" borderId="0" xfId="0" applyNumberFormat="1" applyFont="1" applyFill="1" applyBorder="1"/>
    <x:xf numFmtId="210" fontId="41" fillId="77" borderId="0" xfId="0" applyNumberFormat="1" applyFont="1" applyFill="1" applyBorder="1"/>
    <x:xf numFmtId="209" fontId="41" fillId="77" borderId="0" xfId="0" applyNumberFormat="1" applyFont="1" applyFill="1" applyBorder="1"/>
    <x:xf numFmtId="0" fontId="0" fillId="77" borderId="0" xfId="0" applyNumberFormat="1" applyFont="1" applyFill="1" applyBorder="1" applyAlignment="1">
      <x:alignment wrapText="1"/>
    </x:xf>
    <x:xf numFmtId="1" fontId="3" fillId="72" borderId="2" xfId="0" applyNumberFormat="1" applyFont="1" applyFill="1" applyBorder="1" applyAlignment="1">
      <x:alignment vertical="center" wrapText="1"/>
    </x:xf>
    <x:xf numFmtId="1" fontId="39" fillId="72" borderId="2" xfId="0" applyNumberFormat="1" applyFont="1" applyFill="1" applyBorder="1" applyAlignment="1">
      <x:alignment vertical="center" wrapText="1"/>
    </x:xf>
    <x:xf numFmtId="165" fontId="39" fillId="72" borderId="2" xfId="0" applyNumberFormat="1" applyFont="1" applyFill="1" applyBorder="1" applyAlignment="1">
      <x:alignment vertical="center" wrapText="1"/>
    </x:xf>
    <x:xf numFmtId="164" fontId="39" fillId="72" borderId="2" xfId="0" applyNumberFormat="1" applyFont="1" applyFill="1" applyBorder="1" applyAlignment="1">
      <x:alignment vertical="center" wrapText="1"/>
    </x:xf>
    <x:xf numFmtId="165" fontId="3" fillId="72" borderId="2" xfId="0" applyNumberFormat="1" applyFont="1" applyFill="1" applyBorder="1" applyAlignment="1">
      <x:alignment vertical="center" wrapText="1"/>
    </x:xf>
    <x:xf numFmtId="164" fontId="3" fillId="72" borderId="2" xfId="0" applyNumberFormat="1" applyFont="1" applyFill="1" applyBorder="1" applyAlignment="1">
      <x:alignment vertical="center" wrapText="1"/>
    </x:xf>
    <x:xf numFmtId="0" fontId="44" fillId="77" borderId="0" xfId="0" applyNumberFormat="1" applyFont="1" applyFill="1" applyBorder="1" applyAlignment="1">
      <x:alignment vertical="center" wrapText="1"/>
    </x:xf>
    <x:xf numFmtId="0" fontId="45" fillId="73" borderId="0" xfId="0" applyNumberFormat="1" applyFont="1" applyFill="1" applyBorder="1" applyAlignment="1">
      <x:alignment wrapText="1"/>
    </x:xf>
    <x:xf numFmtId="0" fontId="43" fillId="75" borderId="0" xfId="0" applyNumberFormat="1" applyFont="1" applyFill="1" applyBorder="1" applyAlignment="1">
      <x:alignment wrapText="1"/>
    </x:xf>
    <x:xf numFmtId="209" fontId="47" fillId="75" borderId="0" xfId="0" applyNumberFormat="1" applyFont="1" applyFill="1" applyBorder="1"/>
    <x:xf numFmtId="208" fontId="5" fillId="76" borderId="4" xfId="0" applyNumberFormat="1" applyFont="1" applyFill="1" applyBorder="1" applyAlignment="1">
      <x:alignment horizontal="center" vertical="center" wrapText="1"/>
    </x:xf>
    <x:xf numFmtId="209" fontId="47" fillId="77" borderId="0" xfId="0" applyNumberFormat="1" applyFont="1" applyFill="1" applyBorder="1"/>
    <x:xf numFmtId="0" fontId="48" fillId="77" borderId="0" xfId="0" applyNumberFormat="1" applyFont="1" applyFill="1" applyBorder="1" applyAlignment="1">
      <x:alignment wrapText="1"/>
    </x:xf>
    <x:xf numFmtId="202" fontId="48" fillId="77" borderId="0" xfId="0" applyNumberFormat="1" applyFont="1" applyFill="1" applyBorder="1"/>
    <x:xf numFmtId="0" fontId="48" fillId="77" borderId="0" xfId="0" applyNumberFormat="1" applyFont="1" applyFill="1" applyBorder="1"/>
    <x:xf numFmtId="0" fontId="26" fillId="73" borderId="0" xfId="0" applyNumberFormat="1" applyFont="1" applyFill="1" applyBorder="1" applyAlignment="1">
      <x:alignment vertical="center" wrapText="1"/>
    </x:xf>
    <x:xf numFmtId="0" fontId="49" fillId="78" borderId="0" xfId="0" applyNumberFormat="1" applyFont="1" applyFill="1" applyBorder="1" applyAlignment="1">
      <x:alignment wrapText="1"/>
    </x:xf>
    <x:xf numFmtId="0" fontId="14" fillId="73" borderId="0" xfId="0" applyNumberFormat="1" applyFont="1" applyFill="1" applyBorder="1" applyAlignment="1">
      <x:alignment vertical="center" wrapText="1"/>
    </x:xf>
    <x:xf numFmtId="211" fontId="20" fillId="73" borderId="0" xfId="0" applyNumberFormat="1" applyFont="1" applyFill="1" applyBorder="1" applyAlignment="1">
      <x:alignment vertical="center" wrapText="1"/>
    </x:xf>
    <x:xf numFmtId="211" fontId="14" fillId="73" borderId="0" xfId="0" applyNumberFormat="1" applyFont="1" applyFill="1" applyBorder="1" applyAlignment="1">
      <x:alignment vertical="center" wrapText="1"/>
    </x:xf>
    <x:xf numFmtId="164" fontId="20" fillId="73" borderId="0" xfId="0" applyNumberFormat="1" applyFont="1" applyFill="1" applyBorder="1" applyAlignment="1">
      <x:alignment vertical="center" wrapText="1"/>
    </x:xf>
    <x:xf numFmtId="0" fontId="20" fillId="73" borderId="0" xfId="0" applyNumberFormat="1" applyFont="1" applyFill="1" applyBorder="1" applyAlignment="1">
      <x:alignment vertical="center" wrapText="1"/>
    </x:xf>
    <x:xf numFmtId="0" fontId="5" fillId="74" borderId="0" xfId="0" applyNumberFormat="1" applyFont="1" applyFill="1" applyBorder="1" applyAlignment="1">
      <x:alignment vertical="center" wrapText="1"/>
    </x:xf>
    <x:xf numFmtId="0" fontId="43" fillId="75" borderId="3" xfId="0" applyNumberFormat="1" applyFont="1" applyFill="1" applyBorder="1"/>
    <x:xf numFmtId="207" fontId="43" fillId="75" borderId="3" xfId="0" applyNumberFormat="1" applyFont="1" applyFill="1" applyBorder="1"/>
    <x:xf numFmtId="209" fontId="43" fillId="75" borderId="3" xfId="0" applyNumberFormat="1" applyFont="1" applyFill="1" applyBorder="1"/>
    <x:xf numFmtId="212" fontId="43" fillId="75" borderId="3" xfId="0" applyNumberFormat="1" applyFont="1" applyFill="1" applyBorder="1"/>
    <x:xf numFmtId="211" fontId="47" fillId="75" borderId="3" xfId="0" applyNumberFormat="1" applyFont="1" applyFill="1" applyBorder="1"/>
    <x:xf numFmtId="211" fontId="43" fillId="75" borderId="3" xfId="0" applyNumberFormat="1" applyFont="1" applyFill="1" applyBorder="1"/>
    <x:xf numFmtId="200" fontId="43" fillId="75" borderId="3" xfId="0" applyNumberFormat="1" applyFont="1" applyFill="1" applyBorder="1"/>
    <x:xf numFmtId="200" fontId="43" fillId="75" borderId="3" xfId="0" applyNumberFormat="1" applyFont="1" applyFill="1" applyBorder="1" applyAlignment="1">
      <x:alignment wrapText="1"/>
    </x:xf>
    <x:xf numFmtId="0" fontId="43" fillId="75" borderId="3" xfId="0" applyNumberFormat="1" applyFont="1" applyFill="1" applyBorder="1" applyAlignment="1">
      <x:alignment wrapText="1"/>
    </x:xf>
    <x:xf numFmtId="0" fontId="45" fillId="79" borderId="0" xfId="0" applyNumberFormat="1" applyFont="1" applyFill="1" applyBorder="1" applyAlignment="1">
      <x:alignment wrapText="1"/>
    </x:xf>
    <x:xf numFmtId="0" fontId="5" fillId="72" borderId="0" xfId="0" applyNumberFormat="1" applyFont="1" applyFill="1" applyBorder="1"/>
    <x:xf numFmtId="0" fontId="47" fillId="72" borderId="0" xfId="0" applyNumberFormat="1" applyFont="1" applyFill="1" applyBorder="1"/>
    <x:xf numFmtId="0" fontId="28" fillId="72" borderId="0" xfId="0" applyNumberFormat="1" applyFont="1" applyFill="1" applyBorder="1" applyAlignment="1">
      <x:alignment vertical="center"/>
    </x:xf>
    <x:xf numFmtId="0" fontId="50" fillId="73" borderId="0" xfId="0" applyNumberFormat="1" applyFont="1" applyFill="1" applyBorder="1" applyAlignment="1">
      <x:alignment vertical="center" wrapText="1"/>
    </x:xf>
    <x:xf numFmtId="0" fontId="30" fillId="74" borderId="0" xfId="0" applyNumberFormat="1" applyFont="1" applyFill="1" applyBorder="1" applyAlignment="1">
      <x:alignment vertical="center"/>
    </x:xf>
    <x:xf numFmtId="0" fontId="31" fillId="76" borderId="4" xfId="0" applyNumberFormat="1" applyFont="1" applyFill="1" applyBorder="1" applyAlignment="1">
      <x:alignment horizontal="center" vertical="center" wrapText="1"/>
    </x:xf>
    <x:xf numFmtId="209" fontId="53" fillId="75" borderId="0" xfId="0" applyNumberFormat="1" applyFont="1" applyFill="1" applyBorder="1" applyAlignment="1">
      <x:alignment vertical="center"/>
    </x:xf>
    <x:xf numFmtId="209" fontId="33" fillId="75" borderId="0" xfId="0" applyNumberFormat="1" applyFont="1" applyFill="1" applyBorder="1" applyAlignment="1">
      <x:alignment vertical="center"/>
    </x:xf>
    <x:xf numFmtId="0" fontId="27" fillId="78" borderId="0" xfId="0" applyNumberFormat="1" applyFont="1" applyFill="1" applyBorder="1" applyAlignment="1">
      <x:alignment vertical="center" wrapText="1"/>
    </x:xf>
    <x:xf numFmtId="164" fontId="54" fillId="73" borderId="0" xfId="0" applyNumberFormat="1" applyFont="1" applyFill="1" applyBorder="1" applyAlignment="1">
      <x:alignment vertical="center" wrapText="1"/>
    </x:xf>
    <x:xf numFmtId="0" fontId="34" fillId="75" borderId="0" xfId="0" applyNumberFormat="1" applyFont="1" applyFill="1" applyBorder="1" applyAlignment="1">
      <x:alignment vertical="center" wrapText="1"/>
    </x:xf>
    <x:xf numFmtId="164" fontId="34" fillId="75" borderId="0" xfId="0" applyNumberFormat="1" applyFont="1" applyFill="1" applyBorder="1" applyAlignment="1">
      <x:alignment vertical="center" wrapText="1"/>
    </x:xf>
    <x:xf numFmtId="209" fontId="56" fillId="75" borderId="0" xfId="0" applyNumberFormat="1" applyFont="1" applyFill="1" applyBorder="1" applyAlignment="1">
      <x:alignment vertical="center" wrapText="1"/>
    </x:xf>
    <x:xf numFmtId="210" fontId="56" fillId="75" borderId="0" xfId="0" applyNumberFormat="1" applyFont="1" applyFill="1" applyBorder="1" applyAlignment="1">
      <x:alignment vertical="center" wrapText="1"/>
    </x:xf>
    <x:xf numFmtId="209" fontId="34" fillId="75" borderId="0" xfId="0" applyNumberFormat="1" applyFont="1" applyFill="1" applyBorder="1" applyAlignment="1">
      <x:alignment vertical="center" wrapText="1"/>
    </x:xf>
    <x:xf numFmtId="210" fontId="34" fillId="75" borderId="0" xfId="0" applyNumberFormat="1" applyFont="1" applyFill="1" applyBorder="1" applyAlignment="1">
      <x:alignment vertical="center" wrapText="1"/>
    </x:xf>
    <x:xf numFmtId="0" fontId="59" fillId="78" borderId="0" xfId="0" applyNumberFormat="1" applyFont="1" applyFill="1" applyBorder="1" applyAlignment="1">
      <x:alignment vertical="center" wrapText="1"/>
    </x:xf>
    <x:xf numFmtId="211" fontId="56" fillId="78" borderId="0" xfId="0" applyNumberFormat="1" applyFont="1" applyFill="1" applyBorder="1" applyAlignment="1">
      <x:alignment vertical="center" wrapText="1"/>
    </x:xf>
    <x:xf numFmtId="209" fontId="56" fillId="78" borderId="0" xfId="0" applyNumberFormat="1" applyFont="1" applyFill="1" applyBorder="1" applyAlignment="1">
      <x:alignment vertical="center" wrapText="1"/>
    </x:xf>
    <x:xf numFmtId="209" fontId="59" fillId="78" borderId="0" xfId="0" applyNumberFormat="1" applyFont="1" applyFill="1" applyBorder="1" applyAlignment="1">
      <x:alignment vertical="center" wrapText="1"/>
    </x:xf>
    <x:xf numFmtId="211" fontId="59" fillId="78" borderId="0" xfId="0" applyNumberFormat="1" applyFont="1" applyFill="1" applyBorder="1" applyAlignment="1">
      <x:alignment vertical="center" wrapText="1"/>
    </x:xf>
    <x:xf numFmtId="211" fontId="56" fillId="75" borderId="0" xfId="0" applyNumberFormat="1" applyFont="1" applyFill="1" applyBorder="1" applyAlignment="1">
      <x:alignment vertical="center" wrapText="1"/>
    </x:xf>
    <x:xf numFmtId="211" fontId="34" fillId="75" borderId="0" xfId="0" applyNumberFormat="1" applyFont="1" applyFill="1" applyBorder="1" applyAlignment="1">
      <x:alignment vertical="center" wrapText="1"/>
    </x:xf>
    <x:xf numFmtId="0" fontId="60" fillId="72" borderId="0" xfId="0" applyNumberFormat="1" applyFont="1" applyFill="1" applyBorder="1" applyAlignment="1">
      <x:alignment vertical="center" wrapText="1"/>
    </x:xf>
    <x:xf numFmtId="211" fontId="56" fillId="72" borderId="0" xfId="0" applyNumberFormat="1" applyFont="1" applyFill="1" applyBorder="1" applyAlignment="1">
      <x:alignment vertical="center" wrapText="1"/>
    </x:xf>
    <x:xf numFmtId="209" fontId="56" fillId="72" borderId="0" xfId="0" applyNumberFormat="1" applyFont="1" applyFill="1" applyBorder="1" applyAlignment="1">
      <x:alignment vertical="center" wrapText="1"/>
    </x:xf>
    <x:xf numFmtId="211" fontId="60" fillId="72" borderId="0" xfId="0" applyNumberFormat="1" applyFont="1" applyFill="1" applyBorder="1" applyAlignment="1">
      <x:alignment vertical="center" wrapText="1"/>
    </x:xf>
    <x:xf numFmtId="209" fontId="60" fillId="72" borderId="0" xfId="0" applyNumberFormat="1" applyFont="1" applyFill="1" applyBorder="1" applyAlignment="1">
      <x:alignment vertical="center" wrapText="1"/>
    </x:xf>
    <x:xf numFmtId="0" fontId="27" fillId="80" borderId="5" xfId="0" applyNumberFormat="1" applyFont="1" applyFill="1" applyBorder="1" applyAlignment="1">
      <x:alignment vertical="center" wrapText="1"/>
    </x:xf>
    <x:xf numFmtId="209" fontId="35" fillId="80" borderId="6" xfId="0" applyNumberFormat="1" applyFont="1" applyFill="1" applyBorder="1" applyAlignment="1">
      <x:alignment vertical="center" wrapText="1"/>
    </x:xf>
    <x:xf numFmtId="0" fontId="27" fillId="80" borderId="6" xfId="0" applyNumberFormat="1" applyFont="1" applyFill="1" applyBorder="1" applyAlignment="1">
      <x:alignment vertical="center" wrapText="1"/>
    </x:xf>
    <x:xf numFmtId="0" fontId="32" fillId="80" borderId="6" xfId="0" applyNumberFormat="1" applyFont="1" applyFill="1" applyBorder="1" applyAlignment="1">
      <x:alignment vertical="center" wrapText="1"/>
    </x:xf>
    <x:xf numFmtId="0" fontId="32" fillId="80" borderId="7" xfId="0" applyNumberFormat="1" applyFont="1" applyFill="1" applyBorder="1" applyAlignment="1">
      <x:alignment vertical="center" wrapText="1"/>
    </x:xf>
    <x:xf numFmtId="0" fontId="30" fillId="76" borderId="4" xfId="0" applyNumberFormat="1" applyFont="1" applyFill="1" applyBorder="1" applyAlignment="1">
      <x:alignment horizontal="center" vertical="center" wrapText="1"/>
    </x:xf>
    <x:xf numFmtId="0" fontId="30" fillId="76" borderId="8" xfId="0" applyNumberFormat="1" applyFont="1" applyFill="1" applyBorder="1" applyAlignment="1">
      <x:alignment horizontal="center" vertical="center" wrapText="1"/>
    </x:xf>
    <x:xf numFmtId="0" fontId="43" fillId="75" borderId="10" xfId="0" applyNumberFormat="1" applyFont="1" applyFill="1" applyBorder="1" applyAlignment="1">
      <x:alignment wrapText="1"/>
    </x:xf>
    <x:xf numFmtId="207" fontId="51" fillId="78" borderId="0" xfId="0" applyNumberFormat="1" applyFont="1" applyFill="1" applyBorder="1" applyAlignment="1">
      <x:alignment vertical="center" wrapText="1"/>
    </x:xf>
    <x:xf numFmtId="211" fontId="51" fillId="78" borderId="0" xfId="0" applyNumberFormat="1" applyFont="1" applyFill="1" applyBorder="1" applyAlignment="1">
      <x:alignment vertical="center" wrapText="1"/>
    </x:xf>
    <x:xf numFmtId="164" fontId="51" fillId="78" borderId="0" xfId="0" applyNumberFormat="1" applyFont="1" applyFill="1" applyBorder="1" applyAlignment="1">
      <x:alignment vertical="center" wrapText="1"/>
    </x:xf>
    <x:xf numFmtId="0" fontId="59" fillId="78" borderId="9" xfId="0" applyNumberFormat="1" applyFont="1" applyFill="1" applyBorder="1" applyAlignment="1">
      <x:alignment vertical="center" wrapText="1"/>
    </x:xf>
    <x:xf numFmtId="0" fontId="0" fillId="78" borderId="0" xfId="0" applyNumberFormat="1" applyFont="1" applyFill="1" applyBorder="1"/>
    <x:xf numFmtId="207" fontId="23" fillId="78" borderId="0" xfId="0" applyNumberFormat="1" applyFont="1" applyFill="1" applyBorder="1"/>
    <x:xf numFmtId="211" fontId="23" fillId="78" borderId="0" xfId="0" applyNumberFormat="1" applyFont="1" applyFill="1" applyBorder="1"/>
    <x:xf numFmtId="164" fontId="23" fillId="78" borderId="0" xfId="0" applyNumberFormat="1" applyFont="1" applyFill="1" applyBorder="1"/>
    <x:xf numFmtId="0" fontId="0" fillId="78" borderId="9" xfId="0" applyNumberFormat="1" applyFont="1" applyFill="1" applyBorder="1" applyAlignment="1">
      <x:alignment wrapText="1"/>
    </x:xf>
    <x:xf numFmtId="207" fontId="23" fillId="77" borderId="0" xfId="0" applyNumberFormat="1" applyFont="1" applyFill="1" applyBorder="1"/>
    <x:xf numFmtId="211" fontId="23" fillId="77" borderId="0" xfId="0" applyNumberFormat="1" applyFont="1" applyFill="1" applyBorder="1"/>
    <x:xf numFmtId="164" fontId="23" fillId="77" borderId="0" xfId="0" applyNumberFormat="1" applyFont="1" applyFill="1" applyBorder="1"/>
    <x:xf numFmtId="0" fontId="0" fillId="77" borderId="9" xfId="0" applyNumberFormat="1" applyFont="1" applyFill="1" applyBorder="1" applyAlignment="1">
      <x:alignment wrapText="1"/>
    </x:xf>
    <x:xf numFmtId="0" fontId="47" fillId="9" borderId="0" xfId="0" applyNumberFormat="1" applyFont="1" applyFill="1" applyBorder="1" applyAlignment="1">
      <x:alignment wrapText="1"/>
    </x:xf>
    <x:xf numFmtId="209" fontId="47" fillId="9" borderId="0" xfId="0" applyNumberFormat="1" applyFont="1" applyFill="1" applyBorder="1" applyAlignment="1">
      <x:alignment wrapText="1"/>
    </x:xf>
    <x:xf numFmtId="164" fontId="47" fillId="9" borderId="0" xfId="0" applyNumberFormat="1" applyFont="1" applyFill="1" applyBorder="1" applyAlignment="1">
      <x:alignment wrapText="1"/>
    </x:xf>
    <x:xf numFmtId="164" fontId="46" fillId="5" borderId="0" xfId="0" applyNumberFormat="1" applyFont="1" applyFill="1" applyBorder="1" applyAlignment="1">
      <x:alignment wrapText="1"/>
    </x:xf>
    <x:xf numFmtId="212" fontId="47" fillId="8" borderId="0" xfId="0" applyNumberFormat="1" applyFont="1" applyFill="1" applyBorder="1" applyAlignment="1">
      <x:alignment wrapText="1"/>
    </x:xf>
    <x:xf numFmtId="0" fontId="47" fillId="8" borderId="0" xfId="0" applyNumberFormat="1" applyFont="1" applyFill="1" applyBorder="1" applyAlignment="1">
      <x:alignment wrapText="1"/>
    </x:xf>
    <x:xf numFmtId="209" fontId="47" fillId="8" borderId="0" xfId="0" applyNumberFormat="1" applyFont="1" applyFill="1" applyBorder="1" applyAlignment="1">
      <x:alignment wrapText="1"/>
    </x:xf>
    <x:xf numFmtId="164" fontId="47" fillId="78" borderId="0" xfId="0" applyNumberFormat="1" applyFont="1" applyFill="1" applyBorder="1" applyAlignment="1">
      <x:alignment wrapText="1"/>
    </x:xf>
    <x:xf numFmtId="0" fontId="47" fillId="78" borderId="0" xfId="0" applyNumberFormat="1" applyFont="1" applyFill="1" applyBorder="1" applyAlignment="1">
      <x:alignment wrapText="1"/>
    </x:xf>
    <x:xf numFmtId="164" fontId="49" fillId="78" borderId="0" xfId="0" applyNumberFormat="1" applyFont="1" applyFill="1" applyBorder="1" applyAlignment="1">
      <x:alignment wrapText="1"/>
    </x:xf>
    <x:xf numFmtId="164" fontId="46" fillId="75" borderId="0" xfId="0" applyNumberFormat="1" applyFont="1" applyFill="1" applyBorder="1" applyAlignment="1">
      <x:alignment wrapText="1"/>
    </x:xf>
    <x:xf numFmtId="164" fontId="43" fillId="75" borderId="0" xfId="0" applyNumberFormat="1" applyFont="1" applyFill="1" applyBorder="1" applyAlignment="1">
      <x:alignment wrapText="1"/>
    </x:xf>
    <x:xf numFmtId="212" fontId="47" fillId="77" borderId="0" xfId="0" applyNumberFormat="1" applyFont="1" applyFill="1" applyBorder="1" applyAlignment="1">
      <x:alignment wrapText="1"/>
    </x:xf>
    <x:xf numFmtId="0" fontId="47" fillId="77" borderId="0" xfId="0" applyNumberFormat="1" applyFont="1" applyFill="1" applyBorder="1" applyAlignment="1">
      <x:alignment wrapText="1"/>
    </x:xf>
    <x:xf numFmtId="209" fontId="47" fillId="77" borderId="0" xfId="0" applyNumberFormat="1" applyFont="1" applyFill="1" applyBorder="1" applyAlignment="1">
      <x:alignment wrapText="1"/>
    </x:xf>
    <x:xf numFmtId="212" fontId="48" fillId="77" borderId="0" xfId="0" applyNumberFormat="1" applyFont="1" applyFill="1" applyBorder="1" applyAlignment="1">
      <x:alignment wrapText="1"/>
    </x:xf>
    <x:xf numFmtId="209" fontId="48" fillId="77" borderId="0" xfId="0" applyNumberFormat="1" applyFont="1" applyFill="1" applyBorder="1" applyAlignment="1">
      <x:alignment wrapText="1"/>
    </x:xf>
    <x:xf numFmtId="0" fontId="49" fillId="79" borderId="0" xfId="0" applyNumberFormat="1" applyFont="1" applyFill="1" applyBorder="1" applyAlignment="1">
      <x:alignment wrapText="1"/>
    </x:xf>
    <x:xf numFmtId="0" fontId="47" fillId="79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41" fillId="79" borderId="0" xfId="0" applyNumberFormat="1" applyFont="1" applyFill="1" applyBorder="1"/>
    <x:xf numFmtId="0" fontId="61" fillId="79" borderId="0" xfId="0" applyNumberFormat="1" applyFont="1" applyFill="1" applyBorder="1" applyAlignment="1">
      <x:alignment wrapText="1"/>
    </x:xf>
    <x:xf numFmtId="0" fontId="61" fillId="79" borderId="0" xfId="0" applyNumberFormat="1" applyFont="1" applyFill="1" applyBorder="1"/>
    <x:xf numFmtId="213" fontId="48" fillId="77" borderId="0" xfId="0" applyNumberFormat="1" applyFont="1" applyFill="1" applyBorder="1" applyAlignment="1">
      <x:alignment wrapText="1"/>
    </x:xf>
    <x:xf numFmtId="200" fontId="48" fillId="77" borderId="0" xfId="0" applyNumberFormat="1" applyFont="1" applyFill="1" applyBorder="1" applyAlignment="1">
      <x:alignment wrapText="1"/>
    </x:xf>
    <x:xf numFmtId="207" fontId="48" fillId="77" borderId="0" xfId="0" applyNumberFormat="1" applyFont="1" applyFill="1" applyBorder="1" applyAlignment="1">
      <x:alignment wrapText="1"/>
    </x:xf>
    <x:xf numFmtId="212" fontId="61" fillId="79" borderId="0" xfId="0" applyNumberFormat="1" applyFont="1" applyFill="1" applyBorder="1" applyAlignment="1">
      <x:alignment wrapText="1"/>
    </x:xf>
    <x:xf numFmtId="200" fontId="61" fillId="79" borderId="0" xfId="0" applyNumberFormat="1" applyFont="1" applyFill="1" applyBorder="1" applyAlignment="1">
      <x:alignment wrapText="1"/>
    </x:xf>
    <x:xf numFmtId="207" fontId="61" fillId="79" borderId="0" xfId="0" applyNumberFormat="1" applyFont="1" applyFill="1" applyBorder="1"/>
    <x:xf numFmtId="209" fontId="61" fillId="79" borderId="0" xfId="0" applyNumberFormat="1" applyFont="1" applyFill="1" applyBorder="1"/>
    <x:xf numFmtId="0" fontId="5" fillId="78" borderId="0" xfId="0" applyNumberFormat="1" applyFont="1" applyFill="1" applyBorder="1" applyAlignment="1">
      <x:alignment vertical="center"/>
    </x:xf>
    <x:xf numFmtId="0" fontId="5" fillId="78" borderId="0" xfId="0" applyNumberFormat="1" applyFont="1" applyFill="1" applyBorder="1"/>
    <x:xf numFmtId="0" fontId="49" fillId="78" borderId="0" xfId="0" applyNumberFormat="1" applyFont="1" applyFill="1" applyBorder="1" applyAlignment="1">
      <x:alignment vertical="center"/>
    </x:xf>
    <x:xf numFmtId="0" fontId="49" fillId="78" borderId="0" xfId="0" applyNumberFormat="1" applyFont="1" applyFill="1" applyBorder="1"/>
    <x:xf numFmtId="0" fontId="49" fillId="78" borderId="0" xfId="0" applyNumberFormat="1" applyFont="1" applyFill="1" applyBorder="1" applyAlignment="1">
      <x:alignment vertical="center" wrapText="1"/>
    </x:xf>
    <x:xf numFmtId="0" fontId="5" fillId="80" borderId="4" xfId="0" applyNumberFormat="1" applyFont="1" applyFill="1" applyBorder="1" applyAlignment="1">
      <x:alignment horizontal="center" vertical="center" wrapText="1"/>
    </x:xf>
    <x:xf numFmtId="0" fontId="5" fillId="80" borderId="11" xfId="0" applyNumberFormat="1" applyFont="1" applyFill="1" applyBorder="1" applyAlignment="1">
      <x:alignment horizontal="center" vertical="center" wrapText="1"/>
    </x:xf>
    <x:xf numFmtId="0" fontId="5" fillId="80" borderId="12" xfId="0" applyNumberFormat="1" applyFont="1" applyFill="1" applyBorder="1" applyAlignment="1">
      <x:alignment horizontal="center" vertical="center" wrapText="1"/>
    </x:xf>
    <x:xf numFmtId="0" fontId="5" fillId="80" borderId="13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 applyAlignment="1">
      <x:alignment wrapText="1"/>
    </x:xf>
    <x:xf numFmtId="0" fontId="5" fillId="74" borderId="0" xfId="0" applyNumberFormat="1" applyFont="1" applyFill="1" applyBorder="1" applyAlignment="1">
      <x:alignment wrapText="1"/>
    </x:xf>
    <x:xf numFmtId="0" fontId="0" fillId="76" borderId="0" xfId="0" applyNumberFormat="1" applyFont="1" applyFill="1" applyBorder="1" applyAlignment="1">
      <x:alignment wrapText="1"/>
    </x:xf>
    <x:xf numFmtId="209" fontId="22" fillId="76" borderId="0" xfId="0" applyNumberFormat="1" applyFont="1" applyFill="1" applyBorder="1" applyAlignment="1">
      <x:alignment wrapText="1"/>
    </x:xf>
    <x:xf numFmtId="0" fontId="5" fillId="76" borderId="0" xfId="0" applyNumberFormat="1" applyFont="1" applyFill="1" applyBorder="1" applyAlignment="1">
      <x:alignment wrapText="1"/>
    </x:xf>
    <x:xf numFmtId="209" fontId="5" fillId="76" borderId="0" xfId="0" applyNumberFormat="1" applyFont="1" applyFill="1" applyBorder="1" applyAlignment="1">
      <x:alignment wrapText="1"/>
    </x:xf>
    <x:xf numFmtId="0" fontId="5" fillId="76" borderId="4" xfId="0" applyNumberFormat="1" applyFont="1" applyFill="1" applyBorder="1" applyAlignment="1">
      <x:alignment wrapText="1"/>
    </x:xf>
    <x:xf numFmtId="209" fontId="5" fillId="76" borderId="4" xfId="0" applyNumberFormat="1" applyFont="1" applyFill="1" applyBorder="1" applyAlignment="1">
      <x:alignment wrapText="1"/>
    </x:xf>
    <x:xf numFmtId="0" fontId="5" fillId="76" borderId="4" xfId="0" applyNumberFormat="1" applyFont="1" applyFill="1" applyBorder="1" applyAlignment="1">
      <x:alignment horizontal="center" wrapText="1"/>
    </x:xf>
    <x:xf numFmtId="209" fontId="5" fillId="76" borderId="4" xfId="0" applyNumberFormat="1" applyFont="1" applyFill="1" applyBorder="1" applyAlignment="1">
      <x:alignment horizontal="center" wrapText="1"/>
    </x:xf>
    <x:xf numFmtId="209" fontId="5" fillId="76" borderId="4" xfId="0" applyNumberFormat="1" applyFont="1" applyFill="1" applyBorder="1" applyAlignment="1">
      <x:alignment horizontal="center" vertical="center" wrapText="1"/>
    </x:xf>
    <x:xf numFmtId="164" fontId="22" fillId="73" borderId="0" xfId="0" applyNumberFormat="1" applyFont="1" applyFill="1" applyBorder="1" applyAlignment="1">
      <x:alignment wrapText="1"/>
    </x:xf>
    <x:xf numFmtId="209" fontId="43" fillId="73" borderId="0" xfId="0" applyNumberFormat="1" applyFont="1" applyFill="1" applyBorder="1" applyAlignment="1">
      <x:alignment wrapText="1"/>
    </x:xf>
    <x:xf numFmtId="0" fontId="43" fillId="73" borderId="0" xfId="0" applyNumberFormat="1" applyFont="1" applyFill="1" applyBorder="1" applyAlignment="1">
      <x:alignment wrapText="1"/>
    </x:xf>
    <x:xf numFmtId="209" fontId="62" fillId="73" borderId="0" xfId="0" applyNumberFormat="1" applyFont="1" applyFill="1" applyBorder="1" applyAlignment="1">
      <x:alignment wrapText="1"/>
    </x:xf>
    <x:xf numFmtId="0" fontId="62" fillId="73" borderId="0" xfId="0" applyNumberFormat="1" applyFont="1" applyFill="1" applyBorder="1" applyAlignment="1">
      <x:alignment wrapText="1"/>
    </x:xf>
    <x:xf numFmtId="0" fontId="48" fillId="75" borderId="0" xfId="0" applyNumberFormat="1" applyFont="1" applyFill="1" applyBorder="1" applyAlignment="1">
      <x:alignment wrapText="1"/>
    </x:xf>
    <x:xf numFmtId="0" fontId="47" fillId="75" borderId="0" xfId="0" applyNumberFormat="1" applyFont="1" applyFill="1" applyBorder="1" applyAlignment="1">
      <x:alignment wrapText="1"/>
    </x:xf>
    <x:xf numFmtId="207" fontId="22" fillId="73" borderId="0" xfId="0" applyNumberFormat="1" applyFont="1" applyFill="1" applyBorder="1" applyAlignment="1">
      <x:alignment wrapText="1"/>
    </x:xf>
    <x:xf numFmtId="209" fontId="22" fillId="73" borderId="0" xfId="0" applyNumberFormat="1" applyFont="1" applyFill="1" applyBorder="1" applyAlignment="1">
      <x:alignment wrapText="1"/>
    </x:xf>
    <x:xf numFmtId="164" fontId="62" fillId="73" borderId="0" xfId="0" applyNumberFormat="1" applyFont="1" applyFill="1" applyBorder="1" applyAlignment="1">
      <x:alignment wrapText="1"/>
    </x:xf>
    <x:xf numFmtId="209" fontId="43" fillId="75" borderId="0" xfId="0" applyNumberFormat="1" applyFont="1" applyFill="1" applyBorder="1" applyAlignment="1">
      <x:alignment wrapText="1"/>
    </x:xf>
    <x:xf numFmtId="0" fontId="0" fillId="76" borderId="0" xfId="0" applyNumberFormat="1" applyFont="1" applyFill="1" applyBorder="1"/>
    <x:xf numFmtId="211" fontId="23" fillId="76" borderId="0" xfId="0" applyNumberFormat="1" applyFont="1" applyFill="1" applyBorder="1"/>
    <x:xf numFmtId="210" fontId="23" fillId="76" borderId="0" xfId="0" applyNumberFormat="1" applyFont="1" applyFill="1" applyBorder="1"/>
    <x:xf numFmtId="209" fontId="43" fillId="76" borderId="0" xfId="0" applyNumberFormat="1" applyFont="1" applyFill="1" applyBorder="1"/>
    <x:xf numFmtId="0" fontId="5" fillId="76" borderId="0" xfId="0" applyNumberFormat="1" applyFont="1" applyFill="1" applyBorder="1"/>
    <x:xf numFmtId="211" fontId="5" fillId="76" borderId="0" xfId="0" applyNumberFormat="1" applyFont="1" applyFill="1" applyBorder="1"/>
    <x:xf numFmtId="210" fontId="5" fillId="76" borderId="0" xfId="0" applyNumberFormat="1" applyFont="1" applyFill="1" applyBorder="1"/>
    <x:xf numFmtId="209" fontId="5" fillId="76" borderId="0" xfId="0" applyNumberFormat="1" applyFont="1" applyFill="1" applyBorder="1"/>
    <x:xf numFmtId="0" fontId="5" fillId="76" borderId="4" xfId="0" applyNumberFormat="1" applyFont="1" applyFill="1" applyBorder="1"/>
    <x:xf numFmtId="211" fontId="5" fillId="76" borderId="4" xfId="0" applyNumberFormat="1" applyFont="1" applyFill="1" applyBorder="1"/>
    <x:xf numFmtId="210" fontId="5" fillId="76" borderId="4" xfId="0" applyNumberFormat="1" applyFont="1" applyFill="1" applyBorder="1"/>
    <x:xf numFmtId="209" fontId="5" fillId="76" borderId="4" xfId="0" applyNumberFormat="1" applyFont="1" applyFill="1" applyBorder="1"/>
    <x:xf numFmtId="211" fontId="5" fillId="76" borderId="4" xfId="0" applyNumberFormat="1" applyFont="1" applyFill="1" applyBorder="1" applyAlignment="1">
      <x:alignment wrapText="1"/>
    </x:xf>
    <x:xf numFmtId="210" fontId="5" fillId="76" borderId="4" xfId="0" applyNumberFormat="1" applyFont="1" applyFill="1" applyBorder="1" applyAlignment="1">
      <x:alignment wrapText="1"/>
    </x:xf>
    <x:xf numFmtId="211" fontId="5" fillId="76" borderId="4" xfId="0" applyNumberFormat="1" applyFont="1" applyFill="1" applyBorder="1" applyAlignment="1">
      <x:alignment horizontal="center" wrapText="1"/>
    </x:xf>
    <x:xf numFmtId="210" fontId="5" fillId="76" borderId="4" xfId="0" applyNumberFormat="1" applyFont="1" applyFill="1" applyBorder="1" applyAlignment="1">
      <x:alignment horizontal="center" wrapText="1"/>
    </x:xf>
    <x:xf numFmtId="211" fontId="5" fillId="76" borderId="4" xfId="0" applyNumberFormat="1" applyFont="1" applyFill="1" applyBorder="1" applyAlignment="1">
      <x:alignment horizontal="center" vertical="center" wrapText="1"/>
    </x:xf>
    <x:xf numFmtId="210" fontId="5" fillId="76" borderId="4" xfId="0" applyNumberFormat="1" applyFont="1" applyFill="1" applyBorder="1" applyAlignment="1">
      <x:alignment horizontal="center" vertical="center" wrapText="1"/>
    </x:xf>
    <x:xf numFmtId="211" fontId="46" fillId="5" borderId="0" xfId="0" applyNumberFormat="1" applyFont="1" applyFill="1" applyBorder="1"/>
    <x:xf numFmtId="210" fontId="46" fillId="5" borderId="0" xfId="0" applyNumberFormat="1" applyFont="1" applyFill="1" applyBorder="1"/>
    <x:xf numFmtId="0" fontId="46" fillId="5" borderId="0" xfId="0" applyNumberFormat="1" applyFont="1" applyFill="1" applyBorder="1" applyAlignment="1">
      <x:alignment wrapText="1"/>
    </x:xf>
    <x:xf numFmtId="0" fontId="41" fillId="0" borderId="0" xfId="0" applyNumberFormat="1" applyFont="1" applyFill="1" applyBorder="1" applyAlignment="1">
      <x:alignment wrapText="1"/>
    </x:xf>
    <x:xf numFmtId="0" fontId="47" fillId="5" borderId="0" xfId="0" applyNumberFormat="1" applyFont="1" applyFill="1" applyBorder="1" applyAlignment="1">
      <x:alignment wrapText="1"/>
    </x:xf>
    <x:xf numFmtId="0" fontId="41" fillId="75" borderId="0" xfId="0" applyNumberFormat="1" applyFont="1" applyFill="1" applyBorder="1" applyAlignment="1">
      <x:alignment wrapText="1"/>
    </x:xf>
    <x:xf numFmtId="211" fontId="46" fillId="5" borderId="0" xfId="0" applyNumberFormat="1" applyFont="1" applyFill="1" applyBorder="1" applyAlignment="1">
      <x:alignment wrapText="1"/>
    </x:xf>
    <x:xf numFmtId="211" fontId="43" fillId="75" borderId="0" xfId="0" applyNumberFormat="1" applyFont="1" applyFill="1" applyBorder="1" applyAlignment="1">
      <x:alignment wrapText="1"/>
    </x:xf>
    <x:xf numFmtId="210" fontId="46" fillId="5" borderId="0" xfId="0" applyNumberFormat="1" applyFont="1" applyFill="1" applyBorder="1" applyAlignment="1">
      <x:alignment wrapText="1"/>
    </x:xf>
    <x:xf numFmtId="210" fontId="43" fillId="75" borderId="0" xfId="0" applyNumberFormat="1" applyFont="1" applyFill="1" applyBorder="1" applyAlignment="1">
      <x:alignment wrapText="1"/>
    </x:xf>
    <x:xf numFmtId="200" fontId="43" fillId="75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41" fillId="75" borderId="0" xfId="0" applyNumberFormat="1" applyFont="1" applyFill="1" applyBorder="1"/>
    <x:xf numFmtId="0" fontId="5" fillId="74" borderId="0" xfId="0" applyNumberFormat="1" applyFont="1" applyFill="1" applyBorder="1"/>
    <x:xf numFmtId="164" fontId="57" fillId="74" borderId="0" xfId="0" applyNumberFormat="1" applyFont="1" applyFill="1" applyBorder="1" applyAlignment="1">
      <x:alignment vertical="center"/>
    </x:xf>
    <x:xf numFmtId="164" fontId="30" fillId="74" borderId="0" xfId="0" applyNumberFormat="1" applyFont="1" applyFill="1" applyBorder="1" applyAlignment="1">
      <x:alignment vertical="center"/>
    </x:xf>
    <x:xf numFmtId="207" fontId="22" fillId="74" borderId="0" xfId="0" applyNumberFormat="1" applyFont="1" applyFill="1" applyBorder="1" applyAlignment="1">
      <x:alignment wrapText="1"/>
    </x:xf>
    <x:xf numFmtId="0" fontId="0" fillId="74" borderId="0" xfId="0" applyNumberFormat="1" applyFont="1" applyFill="1" applyBorder="1"/>
    <x:xf numFmtId="211" fontId="23" fillId="74" borderId="0" xfId="0" applyNumberFormat="1" applyFont="1" applyFill="1" applyBorder="1"/>
    <x:xf numFmtId="210" fontId="23" fillId="74" borderId="0" xfId="0" applyNumberFormat="1" applyFont="1" applyFill="1" applyBorder="1"/>
    <x:xf numFmtId="209" fontId="43" fillId="74" borderId="0" xfId="0" applyNumberFormat="1" applyFont="1" applyFill="1" applyBorder="1"/>
    <x:xf numFmtId="207" fontId="5" fillId="74" borderId="0" xfId="0" applyNumberFormat="1" applyFont="1" applyFill="1" applyBorder="1" applyAlignment="1">
      <x:alignment wrapText="1"/>
    </x:xf>
    <x:xf numFmtId="211" fontId="5" fillId="74" borderId="0" xfId="0" applyNumberFormat="1" applyFont="1" applyFill="1" applyBorder="1"/>
    <x:xf numFmtId="210" fontId="5" fillId="74" borderId="0" xfId="0" applyNumberFormat="1" applyFont="1" applyFill="1" applyBorder="1"/>
    <x:xf numFmtId="209" fontId="5" fillId="74" borderId="0" xfId="0" applyNumberFormat="1" applyFont="1" applyFill="1" applyBorder="1"/>
    <x:xf numFmtId="200" fontId="6" fillId="80" borderId="2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7" fillId="80" borderId="0" xfId="0" applyNumberFormat="1" applyFont="1" applyFill="1" applyBorder="1" applyAlignment="1">
      <x:alignment vertical="center" wrapText="1"/>
    </x:xf>
    <x:xf numFmtId="164" fontId="6" fillId="80" borderId="2" xfId="0" applyNumberFormat="1" applyFont="1" applyFill="1" applyBorder="1" applyAlignment="1">
      <x:alignment vertical="center" wrapText="1"/>
    </x:xf>
    <x:xf numFmtId="164" fontId="0" fillId="80" borderId="0" xfId="0" applyNumberFormat="1" applyFont="1" applyFill="1" applyBorder="1"/>
    <x:xf numFmtId="0" fontId="16" fillId="80" borderId="0" xfId="0" applyNumberFormat="1" applyFont="1" applyFill="1" applyBorder="1" applyAlignment="1">
      <x:alignment wrapText="1"/>
    </x:xf>
    <x:xf numFmtId="0" fontId="49" fillId="9" borderId="0" xfId="0" applyNumberFormat="1" applyFont="1" applyFill="1" applyBorder="1" applyAlignment="1">
      <x:alignment wrapText="1"/>
    </x:xf>
    <x:xf numFmtId="207" fontId="61" fillId="79" borderId="0" xfId="0" applyNumberFormat="1" applyFont="1" applyFill="1" applyBorder="1" applyAlignment="1">
      <x:alignment wrapText="1"/>
    </x:xf>
    <x:xf numFmtId="209" fontId="61" fillId="79" borderId="0" xfId="0" applyNumberFormat="1" applyFont="1" applyFill="1" applyBorder="1" applyAlignment="1">
      <x:alignment wrapText="1"/>
    </x:xf>
    <x:xf numFmtId="0" fontId="43" fillId="5" borderId="0" xfId="0" applyNumberFormat="1" applyFont="1" applyFill="1" applyBorder="1" applyAlignment="1">
      <x:alignment wrapText="1"/>
    </x:xf>
    <x:xf numFmtId="211" fontId="23" fillId="0" borderId="0" xfId="0" applyNumberFormat="1" applyFont="1" applyFill="1" applyBorder="1" applyAlignment="1">
      <x:alignment wrapText="1"/>
    </x:xf>
    <x:xf numFmtId="210" fontId="23" fillId="0" borderId="0" xfId="0" applyNumberFormat="1" applyFont="1" applyFill="1" applyBorder="1" applyAlignment="1">
      <x:alignment wrapText="1"/>
    </x:xf>
    <x:xf numFmtId="0" fontId="1" fillId="81" borderId="0" xfId="0" applyNumberFormat="1" applyFont="1" applyFill="1" applyBorder="1" applyAlignment="1">
      <x:alignment vertical="center"/>
    </x:xf>
    <x:xf numFmtId="0" fontId="36" fillId="82" borderId="0" xfId="0" applyNumberFormat="1" applyFont="1" applyFill="1" applyBorder="1" applyAlignment="1">
      <x:alignment vertical="center" wrapText="1"/>
    </x:xf>
    <x:xf numFmtId="0" fontId="3" fillId="83" borderId="1" xfId="0" applyNumberFormat="1" applyFont="1" applyFill="1" applyBorder="1" applyAlignment="1">
      <x:alignment horizontal="center" vertical="center" wrapText="1"/>
    </x:xf>
    <x:xf numFmtId="164" fontId="4" fillId="84" borderId="1" xfId="0" applyNumberFormat="1" applyFont="1" applyFill="1" applyBorder="1" applyAlignment="1">
      <x:alignment horizontal="center" vertical="center" wrapText="1"/>
    </x:xf>
    <x:xf numFmtId="1" fontId="4" fillId="84" borderId="1" xfId="0" applyNumberFormat="1" applyFont="1" applyFill="1" applyBorder="1" applyAlignment="1">
      <x:alignment horizontal="center" vertical="center" wrapText="1"/>
    </x:xf>
    <x:xf numFmtId="211" fontId="4" fillId="84" borderId="1" xfId="0" applyNumberFormat="1" applyFont="1" applyFill="1" applyBorder="1" applyAlignment="1">
      <x:alignment horizontal="center" vertical="center" wrapText="1"/>
    </x:xf>
    <x:xf numFmtId="0" fontId="4" fillId="84" borderId="1" xfId="0" applyNumberFormat="1" applyFont="1" applyFill="1" applyBorder="1" applyAlignment="1">
      <x:alignment horizontal="center" vertical="center" wrapText="1"/>
    </x:xf>
    <x:xf numFmtId="209" fontId="4" fillId="84" borderId="1" xfId="0" applyNumberFormat="1" applyFont="1" applyFill="1" applyBorder="1" applyAlignment="1">
      <x:alignment horizontal="center" vertical="center" wrapText="1"/>
    </x:xf>
    <x:xf numFmtId="165" fontId="4" fillId="84" borderId="1" xfId="0" applyNumberFormat="1" applyFont="1" applyFill="1" applyBorder="1" applyAlignment="1">
      <x:alignment horizontal="center" vertical="center" wrapText="1"/>
    </x:xf>
    <x:xf numFmtId="0" fontId="5" fillId="83" borderId="0" xfId="0" applyNumberFormat="1" applyFont="1" applyFill="1" applyBorder="1" applyAlignment="1">
      <x:alignment vertical="center"/>
    </x:xf>
    <x:xf numFmtId="0" fontId="3" fillId="85" borderId="4" xfId="0" applyNumberFormat="1" applyFont="1" applyFill="1" applyBorder="1" applyAlignment="1">
      <x:alignment horizontal="center" vertical="center" wrapText="1"/>
    </x:xf>
    <x:xf numFmtId="209" fontId="37" fillId="82" borderId="2" xfId="0" applyNumberFormat="1" applyFont="1" applyFill="1" applyBorder="1" applyAlignment="1">
      <x:alignment vertical="center" wrapText="1"/>
    </x:xf>
    <x:xf numFmtId="207" fontId="37" fillId="82" borderId="2" xfId="0" applyNumberFormat="1" applyFont="1" applyFill="1" applyBorder="1" applyAlignment="1">
      <x:alignment vertical="center" wrapText="1"/>
    </x:xf>
    <x:xf numFmtId="209" fontId="38" fillId="82" borderId="2" xfId="0" applyNumberFormat="1" applyFont="1" applyFill="1" applyBorder="1" applyAlignment="1">
      <x:alignment vertical="center" wrapText="1"/>
    </x:xf>
    <x:xf numFmtId="212" fontId="37" fillId="82" borderId="2" xfId="0" applyNumberFormat="1" applyFont="1" applyFill="1" applyBorder="1" applyAlignment="1">
      <x:alignment vertical="center" wrapText="1"/>
    </x:xf>
    <x:xf numFmtId="165" fontId="37" fillId="82" borderId="2" xfId="0" applyNumberFormat="1" applyFont="1" applyFill="1" applyBorder="1" applyAlignment="1">
      <x:alignment vertical="center" wrapText="1"/>
    </x:xf>
    <x:xf numFmtId="0" fontId="5" fillId="85" borderId="4" xfId="0" applyNumberFormat="1" applyFont="1" applyFill="1" applyBorder="1" applyAlignment="1">
      <x:alignment horizontal="center" vertical="center" wrapText="1"/>
    </x:xf>
    <x:xf numFmtId="209" fontId="22" fillId="82" borderId="0" xfId="0" applyNumberFormat="1" applyFont="1" applyFill="1" applyBorder="1"/>
    <x:xf numFmtId="200" fontId="42" fillId="84" borderId="2" xfId="0" applyNumberFormat="1" applyFont="1" applyFill="1" applyBorder="1" applyAlignment="1">
      <x:alignment vertical="center" wrapText="1"/>
    </x:xf>
    <x:xf numFmtId="209" fontId="43" fillId="84" borderId="0" xfId="0" applyNumberFormat="1" applyFont="1" applyFill="1" applyBorder="1"/>
    <x:xf numFmtId="209" fontId="42" fillId="84" borderId="0" xfId="0" applyNumberFormat="1" applyFont="1" applyFill="1" applyBorder="1" applyAlignment="1">
      <x:alignment vertical="center" wrapText="1"/>
    </x:xf>
    <x:xf numFmtId="209" fontId="39" fillId="84" borderId="0" xfId="0" applyNumberFormat="1" applyFont="1" applyFill="1" applyBorder="1" applyAlignment="1">
      <x:alignment vertical="center" wrapText="1"/>
    </x:xf>
    <x:xf numFmtId="200" fontId="39" fillId="84" borderId="0" xfId="0" applyNumberFormat="1" applyFont="1" applyFill="1" applyBorder="1" applyAlignment="1">
      <x:alignment vertical="center" wrapText="1"/>
    </x:xf>
    <x:xf numFmtId="211" fontId="39" fillId="84" borderId="0" xfId="0" applyNumberFormat="1" applyFont="1" applyFill="1" applyBorder="1" applyAlignment="1">
      <x:alignment vertical="center" wrapText="1"/>
    </x:xf>
    <x:xf numFmtId="164" fontId="39" fillId="84" borderId="0" xfId="0" applyNumberFormat="1" applyFont="1" applyFill="1" applyBorder="1" applyAlignment="1">
      <x:alignment vertical="center" wrapText="1"/>
    </x:xf>
    <x:xf numFmtId="200" fontId="42" fillId="84" borderId="0" xfId="0" applyNumberFormat="1" applyFont="1" applyFill="1" applyBorder="1" applyAlignment="1">
      <x:alignment vertical="center" wrapText="1"/>
    </x:xf>
    <x:xf numFmtId="211" fontId="42" fillId="84" borderId="0" xfId="0" applyNumberFormat="1" applyFont="1" applyFill="1" applyBorder="1" applyAlignment="1">
      <x:alignment vertical="center" wrapText="1"/>
    </x:xf>
    <x:xf numFmtId="164" fontId="42" fillId="84" borderId="0" xfId="0" applyNumberFormat="1" applyFont="1" applyFill="1" applyBorder="1" applyAlignment="1">
      <x:alignment vertical="center" wrapText="1"/>
    </x:xf>
    <x:xf numFmtId="207" fontId="40" fillId="82" borderId="2" xfId="0" applyNumberFormat="1" applyFont="1" applyFill="1" applyBorder="1" applyAlignment="1">
      <x:alignment vertical="center" wrapText="1"/>
    </x:xf>
    <x:xf numFmtId="0" fontId="43" fillId="84" borderId="0" xfId="0" applyNumberFormat="1" applyFont="1" applyFill="1" applyBorder="1"/>
    <x:xf numFmtId="207" fontId="47" fillId="84" borderId="0" xfId="0" applyNumberFormat="1" applyFont="1" applyFill="1" applyBorder="1"/>
    <x:xf numFmtId="211" fontId="47" fillId="84" borderId="0" xfId="0" applyNumberFormat="1" applyFont="1" applyFill="1" applyBorder="1"/>
    <x:xf numFmtId="164" fontId="47" fillId="84" borderId="0" xfId="0" applyNumberFormat="1" applyFont="1" applyFill="1" applyBorder="1"/>
    <x:xf numFmtId="0" fontId="47" fillId="84" borderId="0" xfId="0" applyNumberFormat="1" applyFont="1" applyFill="1" applyBorder="1"/>
    <x:xf numFmtId="207" fontId="43" fillId="84" borderId="0" xfId="0" applyNumberFormat="1" applyFont="1" applyFill="1" applyBorder="1"/>
    <x:xf numFmtId="211" fontId="43" fillId="84" borderId="0" xfId="0" applyNumberFormat="1" applyFont="1" applyFill="1" applyBorder="1"/>
    <x:xf numFmtId="164" fontId="43" fillId="84" borderId="0" xfId="0" applyNumberFormat="1" applyFont="1" applyFill="1" applyBorder="1"/>
    <x:xf numFmtId="0" fontId="6" fillId="84" borderId="2" xfId="0" applyNumberFormat="1" applyFont="1" applyFill="1" applyBorder="1" applyAlignment="1">
      <x:alignment vertical="center" wrapText="1"/>
    </x:xf>
    <x:xf numFmtId="211" fontId="40" fillId="84" borderId="2" xfId="0" applyNumberFormat="1" applyFont="1" applyFill="1" applyBorder="1" applyAlignment="1">
      <x:alignment vertical="center" wrapText="1"/>
    </x:xf>
    <x:xf numFmtId="210" fontId="40" fillId="84" borderId="2" xfId="0" applyNumberFormat="1" applyFont="1" applyFill="1" applyBorder="1" applyAlignment="1">
      <x:alignment vertical="center" wrapText="1"/>
    </x:xf>
    <x:xf numFmtId="209" fontId="40" fillId="84" borderId="2" xfId="0" applyNumberFormat="1" applyFont="1" applyFill="1" applyBorder="1" applyAlignment="1">
      <x:alignment vertical="center" wrapText="1"/>
    </x:xf>
    <x:xf numFmtId="10" fontId="6" fillId="84" borderId="2" xfId="0" applyNumberFormat="1" applyFont="1" applyFill="1" applyBorder="1" applyAlignment="1">
      <x:alignment vertical="center" wrapText="1"/>
    </x:xf>
    <x:xf numFmtId="0" fontId="0" fillId="86" borderId="0" xfId="0" applyNumberFormat="1" applyFont="1" applyFill="1" applyBorder="1"/>
    <x:xf numFmtId="211" fontId="41" fillId="86" borderId="0" xfId="0" applyNumberFormat="1" applyFont="1" applyFill="1" applyBorder="1"/>
    <x:xf numFmtId="210" fontId="41" fillId="86" borderId="0" xfId="0" applyNumberFormat="1" applyFont="1" applyFill="1" applyBorder="1"/>
    <x:xf numFmtId="209" fontId="41" fillId="86" borderId="0" xfId="0" applyNumberFormat="1" applyFont="1" applyFill="1" applyBorder="1"/>
    <x:xf numFmtId="0" fontId="0" fillId="86" borderId="0" xfId="0" applyNumberFormat="1" applyFont="1" applyFill="1" applyBorder="1" applyAlignment="1">
      <x:alignment wrapText="1"/>
    </x:xf>
    <x:xf numFmtId="1" fontId="3" fillId="81" borderId="2" xfId="0" applyNumberFormat="1" applyFont="1" applyFill="1" applyBorder="1" applyAlignment="1">
      <x:alignment vertical="center" wrapText="1"/>
    </x:xf>
    <x:xf numFmtId="1" fontId="39" fillId="81" borderId="2" xfId="0" applyNumberFormat="1" applyFont="1" applyFill="1" applyBorder="1" applyAlignment="1">
      <x:alignment vertical="center" wrapText="1"/>
    </x:xf>
    <x:xf numFmtId="165" fontId="39" fillId="81" borderId="2" xfId="0" applyNumberFormat="1" applyFont="1" applyFill="1" applyBorder="1" applyAlignment="1">
      <x:alignment vertical="center" wrapText="1"/>
    </x:xf>
    <x:xf numFmtId="164" fontId="39" fillId="81" borderId="2" xfId="0" applyNumberFormat="1" applyFont="1" applyFill="1" applyBorder="1" applyAlignment="1">
      <x:alignment vertical="center" wrapText="1"/>
    </x:xf>
    <x:xf numFmtId="165" fontId="3" fillId="81" borderId="2" xfId="0" applyNumberFormat="1" applyFont="1" applyFill="1" applyBorder="1" applyAlignment="1">
      <x:alignment vertical="center" wrapText="1"/>
    </x:xf>
    <x:xf numFmtId="164" fontId="3" fillId="81" borderId="2" xfId="0" applyNumberFormat="1" applyFont="1" applyFill="1" applyBorder="1" applyAlignment="1">
      <x:alignment vertical="center" wrapText="1"/>
    </x:xf>
    <x:xf numFmtId="0" fontId="44" fillId="86" borderId="0" xfId="0" applyNumberFormat="1" applyFont="1" applyFill="1" applyBorder="1" applyAlignment="1">
      <x:alignment vertical="center" wrapText="1"/>
    </x:xf>
    <x:xf numFmtId="0" fontId="45" fillId="82" borderId="0" xfId="0" applyNumberFormat="1" applyFont="1" applyFill="1" applyBorder="1" applyAlignment="1">
      <x:alignment wrapText="1"/>
    </x:xf>
    <x:xf numFmtId="209" fontId="47" fillId="82" borderId="0" xfId="0" applyNumberFormat="1" applyFont="1" applyFill="1" applyBorder="1"/>
    <x:xf numFmtId="209" fontId="62" fillId="82" borderId="0" xfId="0" applyNumberFormat="1" applyFont="1" applyFill="1" applyBorder="1"/>
    <x:xf numFmtId="164" fontId="62" fillId="82" borderId="0" xfId="0" applyNumberFormat="1" applyFont="1" applyFill="1" applyBorder="1"/>
    <x:xf numFmtId="0" fontId="43" fillId="84" borderId="0" xfId="0" applyNumberFormat="1" applyFont="1" applyFill="1" applyBorder="1" applyAlignment="1">
      <x:alignment wrapText="1"/>
    </x:xf>
    <x:xf numFmtId="209" fontId="47" fillId="84" borderId="0" xfId="0" applyNumberFormat="1" applyFont="1" applyFill="1" applyBorder="1"/>
    <x:xf numFmtId="208" fontId="5" fillId="85" borderId="4" xfId="0" applyNumberFormat="1" applyFont="1" applyFill="1" applyBorder="1" applyAlignment="1">
      <x:alignment horizontal="center" vertical="center" wrapText="1"/>
    </x:xf>
    <x:xf numFmtId="209" fontId="47" fillId="86" borderId="0" xfId="0" applyNumberFormat="1" applyFont="1" applyFill="1" applyBorder="1"/>
    <x:xf numFmtId="0" fontId="48" fillId="86" borderId="0" xfId="0" applyNumberFormat="1" applyFont="1" applyFill="1" applyBorder="1" applyAlignment="1">
      <x:alignment wrapText="1"/>
    </x:xf>
    <x:xf numFmtId="202" fontId="48" fillId="86" borderId="0" xfId="0" applyNumberFormat="1" applyFont="1" applyFill="1" applyBorder="1"/>
    <x:xf numFmtId="0" fontId="48" fillId="86" borderId="0" xfId="0" applyNumberFormat="1" applyFont="1" applyFill="1" applyBorder="1"/>
    <x:xf numFmtId="0" fontId="26" fillId="82" borderId="0" xfId="0" applyNumberFormat="1" applyFont="1" applyFill="1" applyBorder="1" applyAlignment="1">
      <x:alignment vertical="center" wrapText="1"/>
    </x:xf>
    <x:xf numFmtId="0" fontId="49" fillId="87" borderId="0" xfId="0" applyNumberFormat="1" applyFont="1" applyFill="1" applyBorder="1" applyAlignment="1">
      <x:alignment wrapText="1"/>
    </x:xf>
    <x:xf numFmtId="0" fontId="14" fillId="82" borderId="0" xfId="0" applyNumberFormat="1" applyFont="1" applyFill="1" applyBorder="1" applyAlignment="1">
      <x:alignment vertical="center" wrapText="1"/>
    </x:xf>
    <x:xf numFmtId="211" fontId="20" fillId="82" borderId="0" xfId="0" applyNumberFormat="1" applyFont="1" applyFill="1" applyBorder="1" applyAlignment="1">
      <x:alignment vertical="center" wrapText="1"/>
    </x:xf>
    <x:xf numFmtId="211" fontId="14" fillId="82" borderId="0" xfId="0" applyNumberFormat="1" applyFont="1" applyFill="1" applyBorder="1" applyAlignment="1">
      <x:alignment vertical="center" wrapText="1"/>
    </x:xf>
    <x:xf numFmtId="164" fontId="20" fillId="82" borderId="0" xfId="0" applyNumberFormat="1" applyFont="1" applyFill="1" applyBorder="1" applyAlignment="1">
      <x:alignment vertical="center" wrapText="1"/>
    </x:xf>
    <x:xf numFmtId="0" fontId="20" fillId="82" borderId="0" xfId="0" applyNumberFormat="1" applyFont="1" applyFill="1" applyBorder="1" applyAlignment="1">
      <x:alignment vertical="center" wrapText="1"/>
    </x:xf>
    <x:xf numFmtId="0" fontId="5" fillId="83" borderId="0" xfId="0" applyNumberFormat="1" applyFont="1" applyFill="1" applyBorder="1" applyAlignment="1">
      <x:alignment vertical="center" wrapText="1"/>
    </x:xf>
    <x:xf numFmtId="0" fontId="43" fillId="84" borderId="3" xfId="0" applyNumberFormat="1" applyFont="1" applyFill="1" applyBorder="1"/>
    <x:xf numFmtId="207" fontId="43" fillId="84" borderId="3" xfId="0" applyNumberFormat="1" applyFont="1" applyFill="1" applyBorder="1"/>
    <x:xf numFmtId="209" fontId="43" fillId="84" borderId="3" xfId="0" applyNumberFormat="1" applyFont="1" applyFill="1" applyBorder="1"/>
    <x:xf numFmtId="212" fontId="43" fillId="84" borderId="3" xfId="0" applyNumberFormat="1" applyFont="1" applyFill="1" applyBorder="1"/>
    <x:xf numFmtId="211" fontId="47" fillId="84" borderId="3" xfId="0" applyNumberFormat="1" applyFont="1" applyFill="1" applyBorder="1"/>
    <x:xf numFmtId="211" fontId="43" fillId="84" borderId="3" xfId="0" applyNumberFormat="1" applyFont="1" applyFill="1" applyBorder="1"/>
    <x:xf numFmtId="200" fontId="43" fillId="84" borderId="3" xfId="0" applyNumberFormat="1" applyFont="1" applyFill="1" applyBorder="1"/>
    <x:xf numFmtId="200" fontId="43" fillId="84" borderId="3" xfId="0" applyNumberFormat="1" applyFont="1" applyFill="1" applyBorder="1" applyAlignment="1">
      <x:alignment wrapText="1"/>
    </x:xf>
    <x:xf numFmtId="0" fontId="43" fillId="84" borderId="3" xfId="0" applyNumberFormat="1" applyFont="1" applyFill="1" applyBorder="1" applyAlignment="1">
      <x:alignment wrapText="1"/>
    </x:xf>
    <x:xf numFmtId="0" fontId="45" fillId="88" borderId="0" xfId="0" applyNumberFormat="1" applyFont="1" applyFill="1" applyBorder="1" applyAlignment="1">
      <x:alignment wrapText="1"/>
    </x:xf>
    <x:xf numFmtId="0" fontId="5" fillId="81" borderId="0" xfId="0" applyNumberFormat="1" applyFont="1" applyFill="1" applyBorder="1"/>
    <x:xf numFmtId="0" fontId="47" fillId="81" borderId="0" xfId="0" applyNumberFormat="1" applyFont="1" applyFill="1" applyBorder="1"/>
    <x:xf numFmtId="0" fontId="28" fillId="81" borderId="0" xfId="0" applyNumberFormat="1" applyFont="1" applyFill="1" applyBorder="1" applyAlignment="1">
      <x:alignment vertical="center"/>
    </x:xf>
    <x:xf numFmtId="0" fontId="50" fillId="82" borderId="0" xfId="0" applyNumberFormat="1" applyFont="1" applyFill="1" applyBorder="1" applyAlignment="1">
      <x:alignment vertical="center" wrapText="1"/>
    </x:xf>
    <x:xf numFmtId="0" fontId="30" fillId="83" borderId="0" xfId="0" applyNumberFormat="1" applyFont="1" applyFill="1" applyBorder="1" applyAlignment="1">
      <x:alignment vertical="center"/>
    </x:xf>
    <x:xf numFmtId="0" fontId="31" fillId="85" borderId="4" xfId="0" applyNumberFormat="1" applyFont="1" applyFill="1" applyBorder="1" applyAlignment="1">
      <x:alignment horizontal="center" vertical="center" wrapText="1"/>
    </x:xf>
    <x:xf numFmtId="209" fontId="53" fillId="84" borderId="0" xfId="0" applyNumberFormat="1" applyFont="1" applyFill="1" applyBorder="1" applyAlignment="1">
      <x:alignment vertical="center"/>
    </x:xf>
    <x:xf numFmtId="209" fontId="33" fillId="84" borderId="0" xfId="0" applyNumberFormat="1" applyFont="1" applyFill="1" applyBorder="1" applyAlignment="1">
      <x:alignment vertical="center"/>
    </x:xf>
    <x:xf numFmtId="0" fontId="27" fillId="87" borderId="0" xfId="0" applyNumberFormat="1" applyFont="1" applyFill="1" applyBorder="1" applyAlignment="1">
      <x:alignment vertical="center" wrapText="1"/>
    </x:xf>
    <x:xf numFmtId="164" fontId="54" fillId="82" borderId="0" xfId="0" applyNumberFormat="1" applyFont="1" applyFill="1" applyBorder="1" applyAlignment="1">
      <x:alignment vertical="center" wrapText="1"/>
    </x:xf>
    <x:xf numFmtId="0" fontId="34" fillId="84" borderId="0" xfId="0" applyNumberFormat="1" applyFont="1" applyFill="1" applyBorder="1" applyAlignment="1">
      <x:alignment vertical="center" wrapText="1"/>
    </x:xf>
    <x:xf numFmtId="164" fontId="34" fillId="84" borderId="0" xfId="0" applyNumberFormat="1" applyFont="1" applyFill="1" applyBorder="1" applyAlignment="1">
      <x:alignment vertical="center" wrapText="1"/>
    </x:xf>
    <x:xf numFmtId="209" fontId="56" fillId="84" borderId="0" xfId="0" applyNumberFormat="1" applyFont="1" applyFill="1" applyBorder="1" applyAlignment="1">
      <x:alignment vertical="center" wrapText="1"/>
    </x:xf>
    <x:xf numFmtId="210" fontId="56" fillId="84" borderId="0" xfId="0" applyNumberFormat="1" applyFont="1" applyFill="1" applyBorder="1" applyAlignment="1">
      <x:alignment vertical="center" wrapText="1"/>
    </x:xf>
    <x:xf numFmtId="209" fontId="34" fillId="84" borderId="0" xfId="0" applyNumberFormat="1" applyFont="1" applyFill="1" applyBorder="1" applyAlignment="1">
      <x:alignment vertical="center" wrapText="1"/>
    </x:xf>
    <x:xf numFmtId="210" fontId="34" fillId="84" borderId="0" xfId="0" applyNumberFormat="1" applyFont="1" applyFill="1" applyBorder="1" applyAlignment="1">
      <x:alignment vertical="center" wrapText="1"/>
    </x:xf>
    <x:xf numFmtId="0" fontId="59" fillId="87" borderId="0" xfId="0" applyNumberFormat="1" applyFont="1" applyFill="1" applyBorder="1" applyAlignment="1">
      <x:alignment vertical="center" wrapText="1"/>
    </x:xf>
    <x:xf numFmtId="211" fontId="56" fillId="87" borderId="0" xfId="0" applyNumberFormat="1" applyFont="1" applyFill="1" applyBorder="1" applyAlignment="1">
      <x:alignment vertical="center" wrapText="1"/>
    </x:xf>
    <x:xf numFmtId="209" fontId="56" fillId="87" borderId="0" xfId="0" applyNumberFormat="1" applyFont="1" applyFill="1" applyBorder="1" applyAlignment="1">
      <x:alignment vertical="center" wrapText="1"/>
    </x:xf>
    <x:xf numFmtId="209" fontId="59" fillId="87" borderId="0" xfId="0" applyNumberFormat="1" applyFont="1" applyFill="1" applyBorder="1" applyAlignment="1">
      <x:alignment vertical="center" wrapText="1"/>
    </x:xf>
    <x:xf numFmtId="211" fontId="59" fillId="87" borderId="0" xfId="0" applyNumberFormat="1" applyFont="1" applyFill="1" applyBorder="1" applyAlignment="1">
      <x:alignment vertical="center" wrapText="1"/>
    </x:xf>
    <x:xf numFmtId="211" fontId="56" fillId="84" borderId="0" xfId="0" applyNumberFormat="1" applyFont="1" applyFill="1" applyBorder="1" applyAlignment="1">
      <x:alignment vertical="center" wrapText="1"/>
    </x:xf>
    <x:xf numFmtId="211" fontId="34" fillId="84" borderId="0" xfId="0" applyNumberFormat="1" applyFont="1" applyFill="1" applyBorder="1" applyAlignment="1">
      <x:alignment vertical="center" wrapText="1"/>
    </x:xf>
    <x:xf numFmtId="0" fontId="60" fillId="81" borderId="0" xfId="0" applyNumberFormat="1" applyFont="1" applyFill="1" applyBorder="1" applyAlignment="1">
      <x:alignment vertical="center" wrapText="1"/>
    </x:xf>
    <x:xf numFmtId="211" fontId="56" fillId="81" borderId="0" xfId="0" applyNumberFormat="1" applyFont="1" applyFill="1" applyBorder="1" applyAlignment="1">
      <x:alignment vertical="center" wrapText="1"/>
    </x:xf>
    <x:xf numFmtId="209" fontId="56" fillId="81" borderId="0" xfId="0" applyNumberFormat="1" applyFont="1" applyFill="1" applyBorder="1" applyAlignment="1">
      <x:alignment vertical="center" wrapText="1"/>
    </x:xf>
    <x:xf numFmtId="211" fontId="60" fillId="81" borderId="0" xfId="0" applyNumberFormat="1" applyFont="1" applyFill="1" applyBorder="1" applyAlignment="1">
      <x:alignment vertical="center" wrapText="1"/>
    </x:xf>
    <x:xf numFmtId="209" fontId="60" fillId="81" borderId="0" xfId="0" applyNumberFormat="1" applyFont="1" applyFill="1" applyBorder="1" applyAlignment="1">
      <x:alignment vertical="center" wrapText="1"/>
    </x:xf>
    <x:xf numFmtId="0" fontId="27" fillId="89" borderId="5" xfId="0" applyNumberFormat="1" applyFont="1" applyFill="1" applyBorder="1" applyAlignment="1">
      <x:alignment vertical="center" wrapText="1"/>
    </x:xf>
    <x:xf numFmtId="209" fontId="35" fillId="89" borderId="6" xfId="0" applyNumberFormat="1" applyFont="1" applyFill="1" applyBorder="1" applyAlignment="1">
      <x:alignment vertical="center" wrapText="1"/>
    </x:xf>
    <x:xf numFmtId="0" fontId="27" fillId="89" borderId="6" xfId="0" applyNumberFormat="1" applyFont="1" applyFill="1" applyBorder="1" applyAlignment="1">
      <x:alignment vertical="center" wrapText="1"/>
    </x:xf>
    <x:xf numFmtId="0" fontId="32" fillId="89" borderId="6" xfId="0" applyNumberFormat="1" applyFont="1" applyFill="1" applyBorder="1" applyAlignment="1">
      <x:alignment vertical="center" wrapText="1"/>
    </x:xf>
    <x:xf numFmtId="0" fontId="32" fillId="89" borderId="7" xfId="0" applyNumberFormat="1" applyFont="1" applyFill="1" applyBorder="1" applyAlignment="1">
      <x:alignment vertical="center" wrapText="1"/>
    </x:xf>
    <x:xf numFmtId="0" fontId="30" fillId="85" borderId="4" xfId="0" applyNumberFormat="1" applyFont="1" applyFill="1" applyBorder="1" applyAlignment="1">
      <x:alignment horizontal="center" vertical="center" wrapText="1"/>
    </x:xf>
    <x:xf numFmtId="0" fontId="30" fillId="85" borderId="8" xfId="0" applyNumberFormat="1" applyFont="1" applyFill="1" applyBorder="1" applyAlignment="1">
      <x:alignment horizontal="center" vertical="center" wrapText="1"/>
    </x:xf>
    <x:xf numFmtId="0" fontId="43" fillId="84" borderId="10" xfId="0" applyNumberFormat="1" applyFont="1" applyFill="1" applyBorder="1" applyAlignment="1">
      <x:alignment wrapText="1"/>
    </x:xf>
    <x:xf numFmtId="207" fontId="51" fillId="87" borderId="0" xfId="0" applyNumberFormat="1" applyFont="1" applyFill="1" applyBorder="1" applyAlignment="1">
      <x:alignment vertical="center" wrapText="1"/>
    </x:xf>
    <x:xf numFmtId="211" fontId="51" fillId="87" borderId="0" xfId="0" applyNumberFormat="1" applyFont="1" applyFill="1" applyBorder="1" applyAlignment="1">
      <x:alignment vertical="center" wrapText="1"/>
    </x:xf>
    <x:xf numFmtId="164" fontId="51" fillId="87" borderId="0" xfId="0" applyNumberFormat="1" applyFont="1" applyFill="1" applyBorder="1" applyAlignment="1">
      <x:alignment vertical="center" wrapText="1"/>
    </x:xf>
    <x:xf numFmtId="0" fontId="59" fillId="87" borderId="9" xfId="0" applyNumberFormat="1" applyFont="1" applyFill="1" applyBorder="1" applyAlignment="1">
      <x:alignment vertical="center" wrapText="1"/>
    </x:xf>
    <x:xf numFmtId="0" fontId="0" fillId="87" borderId="0" xfId="0" applyNumberFormat="1" applyFont="1" applyFill="1" applyBorder="1"/>
    <x:xf numFmtId="207" fontId="23" fillId="87" borderId="0" xfId="0" applyNumberFormat="1" applyFont="1" applyFill="1" applyBorder="1"/>
    <x:xf numFmtId="211" fontId="23" fillId="87" borderId="0" xfId="0" applyNumberFormat="1" applyFont="1" applyFill="1" applyBorder="1"/>
    <x:xf numFmtId="164" fontId="23" fillId="87" borderId="0" xfId="0" applyNumberFormat="1" applyFont="1" applyFill="1" applyBorder="1"/>
    <x:xf numFmtId="0" fontId="0" fillId="87" borderId="9" xfId="0" applyNumberFormat="1" applyFont="1" applyFill="1" applyBorder="1" applyAlignment="1">
      <x:alignment wrapText="1"/>
    </x:xf>
    <x:xf numFmtId="207" fontId="23" fillId="86" borderId="0" xfId="0" applyNumberFormat="1" applyFont="1" applyFill="1" applyBorder="1"/>
    <x:xf numFmtId="211" fontId="23" fillId="86" borderId="0" xfId="0" applyNumberFormat="1" applyFont="1" applyFill="1" applyBorder="1"/>
    <x:xf numFmtId="164" fontId="23" fillId="86" borderId="0" xfId="0" applyNumberFormat="1" applyFont="1" applyFill="1" applyBorder="1"/>
    <x:xf numFmtId="0" fontId="0" fillId="86" borderId="9" xfId="0" applyNumberFormat="1" applyFont="1" applyFill="1" applyBorder="1" applyAlignment="1">
      <x:alignment wrapText="1"/>
    </x:xf>
    <x:xf numFmtId="213" fontId="47" fillId="8" borderId="0" xfId="0" applyNumberFormat="1" applyFont="1" applyFill="1" applyBorder="1" applyAlignment="1">
      <x:alignment wrapText="1"/>
    </x:xf>
    <x:xf numFmtId="200" fontId="47" fillId="8" borderId="0" xfId="0" applyNumberFormat="1" applyFont="1" applyFill="1" applyBorder="1" applyAlignment="1">
      <x:alignment wrapText="1"/>
    </x:xf>
    <x:xf numFmtId="207" fontId="47" fillId="8" borderId="0" xfId="0" applyNumberFormat="1" applyFont="1" applyFill="1" applyBorder="1" applyAlignment="1">
      <x:alignment wrapText="1"/>
    </x:xf>
    <x:xf numFmtId="212" fontId="47" fillId="7" borderId="0" xfId="0" applyNumberFormat="1" applyFont="1" applyFill="1" applyBorder="1" applyAlignment="1">
      <x:alignment wrapText="1"/>
    </x:xf>
    <x:xf numFmtId="200" fontId="47" fillId="7" borderId="0" xfId="0" applyNumberFormat="1" applyFont="1" applyFill="1" applyBorder="1" applyAlignment="1">
      <x:alignment wrapText="1"/>
    </x:xf>
    <x:xf numFmtId="207" fontId="47" fillId="7" borderId="0" xfId="0" applyNumberFormat="1" applyFont="1" applyFill="1" applyBorder="1" applyAlignment="1">
      <x:alignment wrapText="1"/>
    </x:xf>
    <x:xf numFmtId="209" fontId="47" fillId="7" borderId="0" xfId="0" applyNumberFormat="1" applyFont="1" applyFill="1" applyBorder="1" applyAlignment="1">
      <x:alignment wrapText="1"/>
    </x:xf>
    <x:xf numFmtId="164" fontId="47" fillId="87" borderId="0" xfId="0" applyNumberFormat="1" applyFont="1" applyFill="1" applyBorder="1" applyAlignment="1">
      <x:alignment wrapText="1"/>
    </x:xf>
    <x:xf numFmtId="0" fontId="47" fillId="87" borderId="0" xfId="0" applyNumberFormat="1" applyFont="1" applyFill="1" applyBorder="1" applyAlignment="1">
      <x:alignment wrapText="1"/>
    </x:xf>
    <x:xf numFmtId="164" fontId="49" fillId="87" borderId="0" xfId="0" applyNumberFormat="1" applyFont="1" applyFill="1" applyBorder="1" applyAlignment="1">
      <x:alignment wrapText="1"/>
    </x:xf>
    <x:xf numFmtId="164" fontId="46" fillId="84" borderId="0" xfId="0" applyNumberFormat="1" applyFont="1" applyFill="1" applyBorder="1" applyAlignment="1">
      <x:alignment wrapText="1"/>
    </x:xf>
    <x:xf numFmtId="164" fontId="43" fillId="84" borderId="0" xfId="0" applyNumberFormat="1" applyFont="1" applyFill="1" applyBorder="1" applyAlignment="1">
      <x:alignment wrapText="1"/>
    </x:xf>
    <x:xf numFmtId="213" fontId="47" fillId="86" borderId="0" xfId="0" applyNumberFormat="1" applyFont="1" applyFill="1" applyBorder="1" applyAlignment="1">
      <x:alignment wrapText="1"/>
    </x:xf>
    <x:xf numFmtId="200" fontId="47" fillId="86" borderId="0" xfId="0" applyNumberFormat="1" applyFont="1" applyFill="1" applyBorder="1" applyAlignment="1">
      <x:alignment wrapText="1"/>
    </x:xf>
    <x:xf numFmtId="207" fontId="47" fillId="86" borderId="0" xfId="0" applyNumberFormat="1" applyFont="1" applyFill="1" applyBorder="1" applyAlignment="1">
      <x:alignment wrapText="1"/>
    </x:xf>
    <x:xf numFmtId="209" fontId="47" fillId="86" borderId="0" xfId="0" applyNumberFormat="1" applyFont="1" applyFill="1" applyBorder="1" applyAlignment="1">
      <x:alignment wrapText="1"/>
    </x:xf>
    <x:xf numFmtId="213" fontId="48" fillId="86" borderId="0" xfId="0" applyNumberFormat="1" applyFont="1" applyFill="1" applyBorder="1" applyAlignment="1">
      <x:alignment wrapText="1"/>
    </x:xf>
    <x:xf numFmtId="200" fontId="48" fillId="86" borderId="0" xfId="0" applyNumberFormat="1" applyFont="1" applyFill="1" applyBorder="1" applyAlignment="1">
      <x:alignment wrapText="1"/>
    </x:xf>
    <x:xf numFmtId="207" fontId="48" fillId="86" borderId="0" xfId="0" applyNumberFormat="1" applyFont="1" applyFill="1" applyBorder="1" applyAlignment="1">
      <x:alignment wrapText="1"/>
    </x:xf>
    <x:xf numFmtId="209" fontId="48" fillId="86" borderId="0" xfId="0" applyNumberFormat="1" applyFont="1" applyFill="1" applyBorder="1" applyAlignment="1">
      <x:alignment wrapText="1"/>
    </x:xf>
    <x:xf numFmtId="0" fontId="61" fillId="88" borderId="0" xfId="0" applyNumberFormat="1" applyFont="1" applyFill="1" applyBorder="1" applyAlignment="1">
      <x:alignment wrapText="1"/>
    </x:xf>
    <x:xf numFmtId="212" fontId="47" fillId="88" borderId="0" xfId="0" applyNumberFormat="1" applyFont="1" applyFill="1" applyBorder="1" applyAlignment="1">
      <x:alignment wrapText="1"/>
    </x:xf>
    <x:xf numFmtId="200" fontId="47" fillId="88" borderId="0" xfId="0" applyNumberFormat="1" applyFont="1" applyFill="1" applyBorder="1" applyAlignment="1">
      <x:alignment wrapText="1"/>
    </x:xf>
    <x:xf numFmtId="207" fontId="47" fillId="88" borderId="0" xfId="0" applyNumberFormat="1" applyFont="1" applyFill="1" applyBorder="1" applyAlignment="1">
      <x:alignment wrapText="1"/>
    </x:xf>
    <x:xf numFmtId="209" fontId="47" fillId="88" borderId="0" xfId="0" applyNumberFormat="1" applyFont="1" applyFill="1" applyBorder="1" applyAlignment="1">
      <x:alignment wrapText="1"/>
    </x:xf>
    <x:xf numFmtId="212" fontId="61" fillId="88" borderId="0" xfId="0" applyNumberFormat="1" applyFont="1" applyFill="1" applyBorder="1" applyAlignment="1">
      <x:alignment wrapText="1"/>
    </x:xf>
    <x:xf numFmtId="200" fontId="61" fillId="88" borderId="0" xfId="0" applyNumberFormat="1" applyFont="1" applyFill="1" applyBorder="1" applyAlignment="1">
      <x:alignment wrapText="1"/>
    </x:xf>
    <x:xf numFmtId="207" fontId="61" fillId="88" borderId="0" xfId="0" applyNumberFormat="1" applyFont="1" applyFill="1" applyBorder="1" applyAlignment="1">
      <x:alignment wrapText="1"/>
    </x:xf>
    <x:xf numFmtId="209" fontId="61" fillId="88" borderId="0" xfId="0" applyNumberFormat="1" applyFont="1" applyFill="1" applyBorder="1" applyAlignment="1">
      <x:alignment wrapText="1"/>
    </x:xf>
    <x:xf numFmtId="0" fontId="49" fillId="87" borderId="0" xfId="0" applyNumberFormat="1" applyFont="1" applyFill="1" applyBorder="1" applyAlignment="1">
      <x:alignment vertical="center" wrapText="1"/>
    </x:xf>
    <x:xf numFmtId="0" fontId="5" fillId="89" borderId="11" xfId="0" applyNumberFormat="1" applyFont="1" applyFill="1" applyBorder="1" applyAlignment="1">
      <x:alignment horizontal="center" vertical="center" wrapText="1"/>
    </x:xf>
    <x:xf numFmtId="0" fontId="5" fillId="89" borderId="12" xfId="0" applyNumberFormat="1" applyFont="1" applyFill="1" applyBorder="1" applyAlignment="1">
      <x:alignment horizontal="center" vertical="center" wrapText="1"/>
    </x:xf>
    <x:xf numFmtId="0" fontId="5" fillId="89" borderId="13" xfId="0" applyNumberFormat="1" applyFont="1" applyFill="1" applyBorder="1" applyAlignment="1">
      <x:alignment horizontal="center" vertical="center" wrapText="1"/>
    </x:xf>
    <x:xf numFmtId="209" fontId="5" fillId="85" borderId="4" xfId="0" applyNumberFormat="1" applyFont="1" applyFill="1" applyBorder="1" applyAlignment="1">
      <x:alignment horizontal="center" vertical="center" wrapText="1"/>
    </x:xf>
    <x:xf numFmtId="207" fontId="22" fillId="82" borderId="0" xfId="0" applyNumberFormat="1" applyFont="1" applyFill="1" applyBorder="1" applyAlignment="1">
      <x:alignment wrapText="1"/>
    </x:xf>
    <x:xf numFmtId="209" fontId="22" fillId="82" borderId="0" xfId="0" applyNumberFormat="1" applyFont="1" applyFill="1" applyBorder="1" applyAlignment="1">
      <x:alignment wrapText="1"/>
    </x:xf>
    <x:xf numFmtId="164" fontId="62" fillId="82" borderId="0" xfId="0" applyNumberFormat="1" applyFont="1" applyFill="1" applyBorder="1" applyAlignment="1">
      <x:alignment wrapText="1"/>
    </x:xf>
    <x:xf numFmtId="209" fontId="47" fillId="5" borderId="0" xfId="0" applyNumberFormat="1" applyFont="1" applyFill="1" applyBorder="1" applyAlignment="1">
      <x:alignment wrapText="1"/>
    </x:xf>
    <x:xf numFmtId="209" fontId="47" fillId="84" borderId="0" xfId="0" applyNumberFormat="1" applyFont="1" applyFill="1" applyBorder="1" applyAlignment="1">
      <x:alignment wrapText="1"/>
    </x:xf>
    <x:xf numFmtId="209" fontId="43" fillId="84" borderId="0" xfId="0" applyNumberFormat="1" applyFont="1" applyFill="1" applyBorder="1" applyAlignment="1">
      <x:alignment wrapText="1"/>
    </x:xf>
    <x:xf numFmtId="211" fontId="5" fillId="85" borderId="4" xfId="0" applyNumberFormat="1" applyFont="1" applyFill="1" applyBorder="1" applyAlignment="1">
      <x:alignment horizontal="center" vertical="center" wrapText="1"/>
    </x:xf>
    <x:xf numFmtId="210" fontId="5" fillId="85" borderId="4" xfId="0" applyNumberFormat="1" applyFont="1" applyFill="1" applyBorder="1" applyAlignment="1">
      <x:alignment horizontal="center" vertical="center" wrapText="1"/>
    </x:xf>
    <x:xf numFmtId="200" fontId="47" fillId="5" borderId="0" xfId="0" applyNumberFormat="1" applyFont="1" applyFill="1" applyBorder="1" applyAlignment="1">
      <x:alignment wrapText="1"/>
    </x:xf>
    <x:xf numFmtId="211" fontId="47" fillId="5" borderId="0" xfId="0" applyNumberFormat="1" applyFont="1" applyFill="1" applyBorder="1" applyAlignment="1">
      <x:alignment wrapText="1"/>
    </x:xf>
    <x:xf numFmtId="210" fontId="47" fillId="5" borderId="0" xfId="0" applyNumberFormat="1" applyFont="1" applyFill="1" applyBorder="1" applyAlignment="1">
      <x:alignment wrapText="1"/>
    </x:xf>
    <x:xf numFmtId="200" fontId="47" fillId="84" borderId="0" xfId="0" applyNumberFormat="1" applyFont="1" applyFill="1" applyBorder="1" applyAlignment="1">
      <x:alignment wrapText="1"/>
    </x:xf>
    <x:xf numFmtId="200" fontId="43" fillId="84" borderId="0" xfId="0" applyNumberFormat="1" applyFont="1" applyFill="1" applyBorder="1" applyAlignment="1">
      <x:alignment wrapText="1"/>
    </x:xf>
    <x:xf numFmtId="211" fontId="47" fillId="84" borderId="0" xfId="0" applyNumberFormat="1" applyFont="1" applyFill="1" applyBorder="1" applyAlignment="1">
      <x:alignment wrapText="1"/>
    </x:xf>
    <x:xf numFmtId="210" fontId="47" fillId="84" borderId="0" xfId="0" applyNumberFormat="1" applyFont="1" applyFill="1" applyBorder="1" applyAlignment="1">
      <x:alignment wrapText="1"/>
    </x:xf>
    <x:xf numFmtId="211" fontId="43" fillId="84" borderId="0" xfId="0" applyNumberFormat="1" applyFont="1" applyFill="1" applyBorder="1" applyAlignment="1">
      <x:alignment wrapText="1"/>
    </x:xf>
    <x:xf numFmtId="210" fontId="43" fillId="84" borderId="0" xfId="0" applyNumberFormat="1" applyFont="1" applyFill="1" applyBorder="1" applyAlignment="1">
      <x:alignment wrapText="1"/>
    </x:xf>
    <x:xf numFmtId="0" fontId="5" fillId="83" borderId="0" xfId="0" applyNumberFormat="1" applyFont="1" applyFill="1" applyBorder="1" applyAlignment="1">
      <x:alignment wrapText="1"/>
    </x:xf>
    <x:xf numFmtId="0" fontId="5" fillId="83" borderId="0" xfId="0" applyNumberFormat="1" applyFont="1" applyFill="1" applyBorder="1"/>
    <x:xf numFmtId="164" fontId="57" fillId="83" borderId="0" xfId="0" applyNumberFormat="1" applyFont="1" applyFill="1" applyBorder="1" applyAlignment="1">
      <x:alignment vertical="center"/>
    </x:xf>
    <x:xf numFmtId="164" fontId="30" fillId="83" borderId="0" xfId="0" applyNumberFormat="1" applyFont="1" applyFill="1" applyBorder="1" applyAlignment="1">
      <x:alignment vertical="center"/>
    </x:xf>
    <x:xf numFmtId="207" fontId="5" fillId="83" borderId="0" xfId="0" applyNumberFormat="1" applyFont="1" applyFill="1" applyBorder="1" applyAlignment="1">
      <x:alignment wrapText="1"/>
    </x:xf>
    <x:xf numFmtId="211" fontId="5" fillId="83" borderId="0" xfId="0" applyNumberFormat="1" applyFont="1" applyFill="1" applyBorder="1"/>
    <x:xf numFmtId="210" fontId="5" fillId="83" borderId="0" xfId="0" applyNumberFormat="1" applyFont="1" applyFill="1" applyBorder="1"/>
    <x:xf numFmtId="209" fontId="5" fillId="83" borderId="0" xfId="0" applyNumberFormat="1" applyFont="1" applyFill="1" applyBorder="1"/>
    <x:xf numFmtId="200" fontId="6" fillId="89" borderId="2" xfId="0" applyNumberFormat="1" applyFont="1" applyFill="1" applyBorder="1" applyAlignment="1">
      <x:alignment vertical="center" wrapText="1"/>
    </x:xf>
    <x:xf numFmtId="0" fontId="0" fillId="89" borderId="0" xfId="0" applyNumberFormat="1" applyFont="1" applyFill="1" applyBorder="1"/>
    <x:xf numFmtId="0" fontId="7" fillId="89" borderId="0" xfId="0" applyNumberFormat="1" applyFont="1" applyFill="1" applyBorder="1" applyAlignment="1">
      <x:alignment vertical="center" wrapText="1"/>
    </x:xf>
    <x:xf numFmtId="164" fontId="6" fillId="89" borderId="2" xfId="0" applyNumberFormat="1" applyFont="1" applyFill="1" applyBorder="1" applyAlignment="1">
      <x:alignment vertical="center" wrapText="1"/>
    </x:xf>
    <x:xf numFmtId="164" fontId="0" fillId="89" borderId="0" xfId="0" applyNumberFormat="1" applyFont="1" applyFill="1" applyBorder="1"/>
    <x:xf numFmtId="0" fontId="16" fillId="89" borderId="0" xfId="0" applyNumberFormat="1" applyFont="1" applyFill="1" applyBorder="1" applyAlignment="1">
      <x:alignment wrapText="1"/>
    </x:xf>
  </x:cellXfs>
  <x:cellStyles count="1">
    <x:cellStyle name="Обычный" xfId="0"/>
  </x:cellStyles>
  <x:dxfs count="10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5B9BD5"/>
      <x:rgbColor rgb="FF993366"/>
      <x:rgbColor rgb="FFFFF2CC"/>
      <x:rgbColor rgb="FFDDEBF7"/>
      <x:rgbColor rgb="FF660066"/>
      <x:rgbColor rgb="FFFF8080"/>
      <x:rgbColor rgb="FF0066CC"/>
      <x:rgbColor rgb="FFCBD5E1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F2F2F2"/>
      <x:rgbColor rgb="FFE2F0D9"/>
      <x:rgbColor rgb="FFFFFF99"/>
      <x:rgbColor rgb="FF99CCFF"/>
      <x:rgbColor rgb="FFFF99CC"/>
      <x:rgbColor rgb="FFCC99FF"/>
      <x:rgbColor rgb="FFFCE4D6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17365D"/>
      <x:rgbColor rgb="FF339966"/>
      <x:rgbColor rgb="FF003300"/>
      <x:rgbColor rgb="FF333300"/>
      <x:rgbColor rgb="FF993300"/>
      <x:rgbColor rgb="FF993366"/>
      <x:rgbColor rgb="FF2F5597"/>
      <x:rgbColor rgb="FF1F2937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fcbc6b5e334dcf" /><Relationship Type="http://schemas.openxmlformats.org/officeDocument/2006/relationships/theme" Target="/xl/theme/theme1.xml" Id="R1f0702014bf44a6e" /><Relationship Type="http://schemas.openxmlformats.org/officeDocument/2006/relationships/sharedStrings" Target="/xl/sharedStrings.xml" Id="R03dae941b7f445de" /><Relationship Type="http://schemas.openxmlformats.org/officeDocument/2006/relationships/worksheet" Target="/xl/worksheets/sheet1.xml" Id="R3b5c16e8f75f44c6" /><Relationship Type="http://schemas.openxmlformats.org/officeDocument/2006/relationships/worksheet" Target="/xl/worksheets/sheet2.xml" Id="R50f2bc9534c64cf9" /><Relationship Type="http://schemas.openxmlformats.org/officeDocument/2006/relationships/worksheet" Target="/xl/worksheets/sheet3.xml" Id="Rb8703d09b7cc4b7c" /><Relationship Type="http://schemas.openxmlformats.org/officeDocument/2006/relationships/worksheet" Target="/xl/worksheets/sheet4.xml" Id="R9e706a2564154aed" /><Relationship Type="http://schemas.openxmlformats.org/officeDocument/2006/relationships/worksheet" Target="/xl/worksheets/sheet5.xml" Id="R6b8dc65f0d9b49c3" /><Relationship Type="http://schemas.microsoft.com/office/2017/10/relationships/person" Target="/xl/persons/person.xml" Id="Rb20be6d3cf21458b" /></Relationships>
</file>

<file path=xl/persons/person.xml><?xml version="1.0" encoding="utf-8"?>
<xltc:personList xmlns:xltc="http://schemas.microsoft.com/office/spreadsheetml/2018/threadedcomments">
  <xltc:person displayName="Codex" id="{C899D242-95DD-96F1-182D-2A9D0C43B24B}"/>
</xltc: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731b9a6a80714a46" /><Relationship Type="http://schemas.openxmlformats.org/officeDocument/2006/relationships/vmlDrawing" Target="/xl/drawings/vmldrawing.vml" Id="R5b001ef0c4b6487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5546875" defaultRowHeight="14.399999618530273"/>
  <x:cols>
    <x:col min="1" max="1" width="26.25" style="1" hidden="0" customWidth="1"/>
    <x:col min="2" max="2" width="14.380000114440918" style="1" hidden="0" customWidth="1"/>
    <x:col min="3" max="3" width="15.630000114440918" style="1" hidden="0" customWidth="1"/>
    <x:col min="4" max="4" width="13.75" style="1" hidden="0" customWidth="1"/>
    <x:col min="5" max="5" width="16.8799991607666" style="1" hidden="0" customWidth="1"/>
    <x:col min="6" max="6" width="13.75" style="1" hidden="0" customWidth="1"/>
    <x:col min="7" max="9" width="14" style="1" customWidth="1"/>
    <x:col min="10" max="10" width="14.380000114440918" style="1" hidden="0" customWidth="1"/>
    <x:col min="11" max="11" width="15" style="1" hidden="0" customWidth="1"/>
    <x:col min="12" max="12" width="18.1299991607666" style="1" hidden="0" customWidth="1"/>
    <x:col min="7" max="7" width="16.8799991607666" hidden="0" customWidth="1"/>
    <x:col min="8" max="8" width="15" hidden="0" customWidth="1"/>
    <x:col min="9" max="9" width="14.380000114440918" hidden="0" customWidth="1"/>
  </x:cols>
  <x:sheetData>
    <x:row r="1" ht="25.5" customHeight="1">
      <x:c r="A1" s="1142" t="str">
        <x:v>LTI: пятилетняя ёмкость резерва — 59 решений за пять лет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</x:row>
    <x:row r="2" ht="27" customHeight="1">
      <x:c r="A2" s="1143" t="str">
        <x:v>Базовый сценарий: 8 → 12 → 12 → 12 → 15 участников, максимальный целевой пакет 1,0 годового оклада, продажа сразу после пятого года. Голубые ячейки — пользовательские допущения.</x:v>
      </x:c>
      <x:c r="B2" s="1143"/>
      <x:c r="C2" s="1143"/>
      <x:c r="D2" s="1143"/>
      <x:c r="E2" s="1143"/>
      <x:c r="F2" s="1143"/>
      <x:c r="G2" s="1143"/>
      <x:c r="H2" s="1143"/>
      <x:c r="I2" s="1143"/>
      <x:c r="J2" s="1143"/>
      <x:c r="K2" s="1143"/>
      <x:c r="L2" s="1143"/>
    </x:row>
    <x:row r="4" ht="15" customHeight="1">
      <x:c r="A4" s="1144" t="str">
        <x:v>Использовано резерва к концу 5-го года</x:v>
      </x:c>
      <x:c r="B4" s="1144"/>
      <x:c r="C4" s="1144"/>
      <x:c r="D4" s="1144" t="str">
        <x:v>Свободный резерв, млн расчётных единиц</x:v>
      </x:c>
      <x:c r="E4" s="1144"/>
      <x:c r="F4" s="1144"/>
      <x:c r="G4" s="1144" t="str">
        <x:v>Размытие исходной структуры</x:v>
      </x:c>
      <x:c r="H4" s="1144"/>
      <x:c r="I4" s="1144"/>
      <x:c r="J4" s="1144" t="str">
        <x:v>Закрепившаяся стоимость при продаже, млн ₽</x:v>
      </x:c>
      <x:c r="K4" s="1144"/>
      <x:c r="L4" s="1144"/>
    </x:row>
    <x:row r="5" ht="15" customHeight="1">
      <x:c r="A5" s="1145" t="n">
        <x:f>H27</x:f>
        <x:v>0.9504543051104589</x:v>
      </x:c>
      <x:c r="B5" s="1146"/>
      <x:c r="C5" s="1146"/>
      <x:c r="D5" s="1147" t="n">
        <x:f>I27</x:f>
        <x:v>0.49545694889541103</x:v>
      </x:c>
      <x:c r="E5" s="1148"/>
      <x:c r="F5" s="1148"/>
      <x:c r="G5" s="1145" t="n">
        <x:f>L14</x:f>
        <x:v>0.5135685144200788</x:v>
      </x:c>
      <x:c r="H5" s="1145"/>
      <x:c r="I5" s="1145"/>
      <x:c r="J5" s="1149" t="n">
        <x:f>L27</x:f>
        <x:v>563.0486670542933</x:v>
      </x:c>
      <x:c r="K5" s="1150"/>
      <x:c r="L5" s="1150"/>
    </x:row>
    <x:row r="6" ht="15" customHeight="1">
      <x:c r="A6" s="34"/>
      <x:c r="B6" s="34"/>
      <x:c r="C6" s="34"/>
      <x:c r="D6" s="35"/>
      <x:c r="E6" s="35"/>
      <x:c r="F6" s="35"/>
      <x:c r="G6" s="36"/>
      <x:c r="H6" s="36"/>
      <x:c r="I6" s="36"/>
      <x:c r="J6" s="37"/>
      <x:c r="K6" s="37"/>
      <x:c r="L6" s="37"/>
    </x:row>
    <x:row r="8" ht="21.75" customHeight="1">
      <x:c r="A8" s="1151" t="str">
        <x:v>1. Допущения и пять раундов финансирования</x:v>
      </x:c>
      <x:c r="B8" s="1151"/>
      <x:c r="C8" s="1151"/>
      <x:c r="D8" s="1151"/>
      <x:c r="E8" s="1151"/>
      <x:c r="F8" s="1151"/>
      <x:c r="G8" s="1151"/>
      <x:c r="H8" s="1151"/>
      <x:c r="I8" s="1151"/>
      <x:c r="J8" s="1151"/>
      <x:c r="K8" s="1151"/>
      <x:c r="L8" s="1151"/>
    </x:row>
    <x:row r="9" ht="36" customHeight="1">
      <x:c r="A9" s="1152" t="str">
        <x:v>Параметр</x:v>
      </x:c>
      <x:c r="B9" s="1152" t="str">
        <x:v>Значение</x:v>
      </x:c>
      <x:c r="C9" s="2"/>
      <x:c r="D9" s="1152" t="str">
        <x:v>Год</x:v>
      </x:c>
      <x:c r="E9" s="1158" t="str">
        <x:v>Оценка до раунда, млн ₽</x:v>
      </x:c>
      <x:c r="F9" s="1152" t="str">
        <x:v>Привлечено, млн ₽</x:v>
      </x:c>
      <x:c r="G9" s="1152" t="str">
        <x:v>Оценка после раунда, млн ₽</x:v>
      </x:c>
      <x:c r="H9" s="1152" t="str">
        <x:v>Расчётных единиц до раунда, млн</x:v>
      </x:c>
      <x:c r="I9" s="1152" t="str">
        <x:v>Цена расчётной единицы, ₽</x:v>
      </x:c>
      <x:c r="J9" s="1152" t="str">
        <x:v>Расчётных единиц инвестора, млн</x:v>
      </x:c>
      <x:c r="K9" s="1152" t="str">
        <x:v>Расчётных единиц после раунда, млн</x:v>
      </x:c>
      <x:c r="L9" s="1152" t="str">
        <x:v>Размытие исходной структуры</x:v>
      </x:c>
    </x:row>
    <x:row r="10" ht="21.75" customHeight="1">
      <x:c r="A10" s="3" t="str">
        <x:v>Расчётных единиц до 1-го раунда, млн</x:v>
      </x:c>
      <x:c r="B10" s="1153" t="n">
        <x:v>100</x:v>
      </x:c>
      <x:c r="C10" s="3"/>
      <x:c r="D10" s="5" t="n">
        <x:v>1</x:v>
      </x:c>
      <x:c r="E10" s="1159" t="n">
        <x:v>1200</x:v>
      </x:c>
      <x:c r="F10" s="1153" t="n">
        <x:v>400</x:v>
      </x:c>
      <x:c r="G10" s="242" t="n">
        <x:f>E10+F10</x:f>
        <x:v>1600</x:v>
      </x:c>
      <x:c r="H10" s="267" t="n">
        <x:f>$B$10</x:f>
        <x:v>100</x:v>
      </x:c>
      <x:c r="I10" s="271" t="n">
        <x:f>E10/H10</x:f>
        <x:v>12</x:v>
      </x:c>
      <x:c r="J10" s="275" t="n">
        <x:f>F10/I10</x:f>
        <x:v>33.333333333333336</x:v>
      </x:c>
      <x:c r="K10" s="275" t="n">
        <x:f>H10+J10</x:f>
        <x:v>133.33333333333334</x:v>
      </x:c>
      <x:c r="L10" s="279" t="n">
        <x:f>1-$B$10/K10</x:f>
        <x:v>0.25</x:v>
      </x:c>
    </x:row>
    <x:row r="11" ht="21.75" customHeight="1">
      <x:c r="A11" s="8" t="str">
        <x:v>Резерв LTI, млн расчётных единиц</x:v>
      </x:c>
      <x:c r="B11" s="1153" t="n">
        <x:v>10</x:v>
      </x:c>
      <x:c r="C11" s="8"/>
      <x:c r="D11" s="9" t="n">
        <x:v>2</x:v>
      </x:c>
      <x:c r="E11" s="1159" t="n">
        <x:v>3200</x:v>
      </x:c>
      <x:c r="F11" s="1153" t="n">
        <x:v>400</x:v>
      </x:c>
      <x:c r="G11" s="242" t="n">
        <x:f>E11+F11</x:f>
        <x:v>3600</x:v>
      </x:c>
      <x:c r="H11" s="267" t="n">
        <x:f>K10</x:f>
        <x:v>133.33333333333334</x:v>
      </x:c>
      <x:c r="I11" s="271" t="n">
        <x:f>E11/H11</x:f>
        <x:v>24</x:v>
      </x:c>
      <x:c r="J11" s="275" t="n">
        <x:f>F11/I11</x:f>
        <x:v>16.666666666666668</x:v>
      </x:c>
      <x:c r="K11" s="275" t="n">
        <x:f>H11+J11</x:f>
        <x:v>150</x:v>
      </x:c>
      <x:c r="L11" s="279" t="n">
        <x:f>1-$B$10/K11</x:f>
        <x:v>0.33333333333333337</x:v>
      </x:c>
    </x:row>
    <x:row r="12" ht="21.75" customHeight="1">
      <x:c r="A12" s="3" t="str">
        <x:v>Обычный предел участников за год</x:v>
      </x:c>
      <x:c r="B12" s="1154" t="n">
        <x:v>12</x:v>
      </x:c>
      <x:c r="C12" s="3"/>
      <x:c r="D12" s="7" t="n">
        <x:v>3</x:v>
      </x:c>
      <x:c r="E12" s="1159" t="n">
        <x:v>5760</x:v>
      </x:c>
      <x:c r="F12" s="1153" t="n">
        <x:v>600</x:v>
      </x:c>
      <x:c r="G12" s="242" t="n">
        <x:f>E12+F12</x:f>
        <x:v>6360</x:v>
      </x:c>
      <x:c r="H12" s="267" t="n">
        <x:f>K11</x:f>
        <x:v>150</x:v>
      </x:c>
      <x:c r="I12" s="271" t="n">
        <x:f>E12/H12</x:f>
        <x:v>38.4</x:v>
      </x:c>
      <x:c r="J12" s="275" t="n">
        <x:f>F12/I12</x:f>
        <x:v>15.625</x:v>
      </x:c>
      <x:c r="K12" s="275" t="n">
        <x:f>H12+J12</x:f>
        <x:v>165.625</x:v>
      </x:c>
      <x:c r="L12" s="279" t="n">
        <x:f>1-$B$10/K12</x:f>
        <x:v>0.39622641509433965</x:v>
      </x:c>
    </x:row>
    <x:row r="13" ht="21.75" customHeight="1">
      <x:c r="A13" s="8" t="str">
        <x:v>Годовой фиксированный оклад, млн ₽</x:v>
      </x:c>
      <x:c r="B13" s="1155" t="n">
        <x:v>5</x:v>
      </x:c>
      <x:c r="C13" s="8"/>
      <x:c r="D13" s="7" t="n">
        <x:v>4</x:v>
      </x:c>
      <x:c r="E13" s="1159" t="n">
        <x:v>9216</x:v>
      </x:c>
      <x:c r="F13" s="1153" t="n">
        <x:v>1000</x:v>
      </x:c>
      <x:c r="G13" s="268" t="n">
        <x:f>E13+F13</x:f>
        <x:v>10216</x:v>
      </x:c>
      <x:c r="H13" s="268" t="n">
        <x:f>K12</x:f>
        <x:v>165.625</x:v>
      </x:c>
      <x:c r="I13" s="272" t="n">
        <x:f>E13/H13</x:f>
        <x:v>55.64377358490566</x:v>
      </x:c>
      <x:c r="J13" s="276" t="n">
        <x:f>F13/I13</x:f>
        <x:v>17.97146267361111</x:v>
      </x:c>
      <x:c r="K13" s="275" t="n">
        <x:f>H13+J13</x:f>
        <x:v>183.59646267361111</x:v>
      </x:c>
      <x:c r="L13" s="279" t="n">
        <x:f>1-$B$10/K13</x:f>
        <x:v>0.45532719670217636</x:v>
      </x:c>
    </x:row>
    <x:row r="14" ht="14.399999618530273" hidden="0" customHeight="1">
      <x:c r="A14" s="3" t="str">
        <x:v>Максимальный целевой множитель пакета, ×</x:v>
      </x:c>
      <x:c r="B14" s="1156" t="n">
        <x:v>1</x:v>
      </x:c>
      <x:c r="C14" s="89"/>
      <x:c r="D14" s="51" t="n">
        <x:v>5</x:v>
      </x:c>
      <x:c r="E14" s="1159" t="n">
        <x:v>13363.2</x:v>
      </x:c>
      <x:c r="F14" s="1159" t="n">
        <x:v>1600</x:v>
      </x:c>
      <x:c r="G14" s="243" t="n">
        <x:f>E14+F14</x:f>
        <x:v>14963.2</x:v>
      </x:c>
      <x:c r="H14" s="243" t="n">
        <x:f>K13</x:f>
        <x:v>183.59646267361111</x:v>
      </x:c>
      <x:c r="I14" s="273" t="n">
        <x:f>E14/H14</x:f>
        <x:v>72.78571605029477</x:v>
      </x:c>
      <x:c r="J14" s="277" t="n">
        <x:f>F14/I14</x:f>
        <x:v>21.982335090231214</x:v>
      </x:c>
      <x:c r="K14" s="277" t="n">
        <x:f>H14+J14</x:f>
        <x:v>205.57879776384232</x:v>
      </x:c>
      <x:c r="L14" s="280" t="n">
        <x:f>1-$B$10/K14</x:f>
        <x:v>0.5135685144200788</x:v>
      </x:c>
    </x:row>
    <x:row r="15" ht="21.600000381469727" hidden="0" customHeight="1">
      <x:c r="A15" s="8" t="str">
        <x:v>Максимальный целевой пакет на человека, млн ₽</x:v>
      </x:c>
      <x:c r="B15" s="241" t="n">
        <x:f>B13*B14</x:f>
        <x:v>5</x:v>
      </x:c>
      <x:c r="C15" s="90"/>
      <x:c r="D15" s="1160" t="str">
        <x:v>ИТОГО / ПРОДАЖА</x:v>
      </x:c>
      <x:c r="E15" s="1161"/>
      <x:c r="F15" s="1162" t="n">
        <x:f>SUM(F10:F14)</x:f>
        <x:v>4000</x:v>
      </x:c>
      <x:c r="G15" s="1162" t="n">
        <x:f>G14</x:f>
        <x:v>14963.2</x:v>
      </x:c>
      <x:c r="H15" s="1162" t="n">
        <x:f>H10</x:f>
        <x:v>100</x:v>
      </x:c>
      <x:c r="I15" s="1167" t="n">
        <x:f>$B$19/K14</x:f>
        <x:v>77.8290376927874</x:v>
      </x:c>
      <x:c r="J15" s="1168" t="n">
        <x:f>SUM(J10:J14)</x:f>
        <x:v>105.57879776384233</x:v>
      </x:c>
      <x:c r="K15" s="1168" t="n">
        <x:f>K14</x:f>
        <x:v>205.57879776384232</x:v>
      </x:c>
      <x:c r="L15" s="1169" t="n">
        <x:f>L14</x:f>
        <x:v>0.5135685144200788</x:v>
      </x:c>
    </x:row>
    <x:row r="16" ht="21.600000381469727" hidden="0" customHeight="1">
      <x:c r="A16" s="3" t="str">
        <x:v>Максимальный объём 59 решений, млн ₽</x:v>
      </x:c>
      <x:c r="B16" s="242" t="n">
        <x:f>SUM(B22:B26)*B15</x:f>
        <x:v>295</x:v>
      </x:c>
      <x:c r="C16" s="89"/>
      <x:c r="D16" s="1333"/>
      <x:c r="E16" s="1334"/>
      <x:c r="F16" s="1335"/>
      <x:c r="G16" s="1335"/>
      <x:c r="H16" s="1335"/>
      <x:c r="I16" s="1335"/>
      <x:c r="J16" s="1335"/>
      <x:c r="K16" s="1335"/>
      <x:c r="L16" s="1335"/>
    </x:row>
    <x:row r="17" ht="40.5" hidden="0" customHeight="1">
      <x:c r="A17" s="90" t="str">
        <x:v>Прибыль до процентов, налогов и амортизации при продаже, млн ₽</x:v>
      </x:c>
      <x:c r="B17" s="1153" t="n">
        <x:v>2000</x:v>
      </x:c>
      <x:c r="C17" s="90"/>
      <x:c r="D17" s="1336"/>
      <x:c r="E17" s="1334"/>
      <x:c r="F17" s="1335"/>
      <x:c r="G17" s="1335"/>
      <x:c r="H17" s="1335"/>
      <x:c r="I17" s="1335"/>
      <x:c r="J17" s="1335"/>
      <x:c r="K17" s="1335"/>
      <x:c r="L17" s="1335"/>
    </x:row>
    <x:row r="18" ht="21.600000381469727" hidden="0" customHeight="1">
      <x:c r="A18" s="3" t="str">
        <x:v>Множитель оценки при продаже, ×</x:v>
      </x:c>
      <x:c r="B18" s="1157" t="n">
        <x:v>8</x:v>
      </x:c>
      <x:c r="C18" s="89"/>
      <x:c r="D18" s="1336"/>
      <x:c r="E18" s="1334"/>
      <x:c r="F18" s="1335"/>
      <x:c r="G18" s="1335"/>
      <x:c r="H18" s="1335"/>
      <x:c r="I18" s="1335"/>
      <x:c r="J18" s="1335"/>
      <x:c r="K18" s="1335"/>
      <x:c r="L18" s="1335"/>
    </x:row>
    <x:row r="19" ht="26.399999618530273" hidden="0" customHeight="1">
      <x:c r="A19" t="str">
        <x:v>Стоимость капитала при продаже, млн ₽</x:v>
      </x:c>
      <x:c r="B19" s="243" t="n">
        <x:f>B17*B18</x:f>
        <x:v>16000</x:v>
      </x:c>
      <x:c r="C19" s="76"/>
      <x:c r="D19" s="1337"/>
      <x:c r="E19" s="1334"/>
      <x:c r="F19" s="1334"/>
      <x:c r="G19" s="1334"/>
      <x:c r="H19" s="1334"/>
      <x:c r="I19" s="1334"/>
      <x:c r="J19" s="1334"/>
      <x:c r="K19" s="1334"/>
      <x:c r="L19" s="1334"/>
    </x:row>
    <x:row r="20" ht="21.75" customHeight="1">
      <x:c r="A20" s="1151" t="str">
        <x:v>2. Пять ежегодных групп: занятость резерва и закрепление прав к продаже</x:v>
      </x:c>
      <x:c r="B20" s="1151"/>
      <x:c r="C20" s="1151"/>
      <x:c r="D20" s="1151"/>
      <x:c r="E20" s="1151"/>
      <x:c r="F20" s="1151"/>
      <x:c r="G20" s="1151"/>
      <x:c r="H20" s="1151"/>
      <x:c r="I20" s="1151"/>
      <x:c r="J20" s="1151"/>
      <x:c r="K20" s="1151"/>
      <x:c r="L20" s="1151"/>
    </x:row>
    <x:row r="21" ht="36" customHeight="1">
      <x:c r="A21" s="1152" t="str">
        <x:v>Год</x:v>
      </x:c>
      <x:c r="B21" s="1152" t="str">
        <x:v>Участников</x:v>
      </x:c>
      <x:c r="C21" s="1152" t="str">
        <x:v>Пакет на человека, млн ₽</x:v>
      </x:c>
      <x:c r="D21" s="1152" t="str">
        <x:v>Пакеты к выдаче, млн ₽</x:v>
      </x:c>
      <x:c r="E21" s="1152" t="str">
        <x:v>Начальная цена единицы, ₽</x:v>
      </x:c>
      <x:c r="F21" s="1152" t="str">
        <x:v>Новые расчётные единицы LTI, млн</x:v>
      </x:c>
      <x:c r="G21" s="1152" t="str">
        <x:v>Занято накопительно, млн</x:v>
      </x:c>
      <x:c r="H21" s="1152" t="str">
        <x:v>Использовано резерва</x:v>
      </x:c>
      <x:c r="I21" s="1152" t="str">
        <x:v>Свободный резерв, млн</x:v>
      </x:c>
      <x:c r="J21" s="1152" t="str">
        <x:v>Закрепилось к продаже</x:v>
      </x:c>
      <x:c r="K21" s="1152" t="str">
        <x:v>Закрепившиеся расчётные единицы, млн</x:v>
      </x:c>
      <x:c r="L21" s="1152" t="str">
        <x:v>Валовая стоимость при продаже, млн ₽</x:v>
      </x:c>
    </x:row>
    <x:row r="22" ht="21.75" customHeight="1">
      <x:c r="A22" s="3" t="n">
        <x:v>1</x:v>
      </x:c>
      <x:c r="B22" s="1154" t="n">
        <x:v>8</x:v>
      </x:c>
      <x:c r="C22" s="275" t="n">
        <x:f>$B$15</x:f>
        <x:v>5</x:v>
      </x:c>
      <x:c r="D22" s="275" t="n">
        <x:f>B22*C22</x:f>
        <x:v>40</x:v>
      </x:c>
      <x:c r="E22" s="275" t="n">
        <x:f>I10</x:f>
        <x:v>12</x:v>
      </x:c>
      <x:c r="F22" s="275" t="n">
        <x:f>D22/E22</x:f>
        <x:v>3.3333333333333335</x:v>
      </x:c>
      <x:c r="G22" s="275" t="n">
        <x:f>SUM($F$22:F22)</x:f>
        <x:v>3.3333333333333335</x:v>
      </x:c>
      <x:c r="H22" s="279" t="n">
        <x:f>G22/$B$11</x:f>
        <x:v>0.33333333333333337</x:v>
      </x:c>
      <x:c r="I22" s="275" t="n">
        <x:f>$B$11-G22</x:f>
        <x:v>6.666666666666666</x:v>
      </x:c>
      <x:c r="J22" s="279" t="n">
        <x:v>1</x:v>
      </x:c>
      <x:c r="K22" s="275" t="n">
        <x:f>F22*J22</x:f>
        <x:v>3.3333333333333335</x:v>
      </x:c>
      <x:c r="L22" s="290" t="n">
        <x:f>K22*($B$19/$K$14)</x:f>
        <x:v>259.43012564262466</x:v>
      </x:c>
    </x:row>
    <x:row r="23" ht="21.75" customHeight="1">
      <x:c r="A23" s="8" t="n">
        <x:v>2</x:v>
      </x:c>
      <x:c r="B23" s="1154" t="n">
        <x:v>12</x:v>
      </x:c>
      <x:c r="C23" s="275" t="n">
        <x:f>$B$15</x:f>
        <x:v>5</x:v>
      </x:c>
      <x:c r="D23" s="275" t="n">
        <x:f>B23*C23</x:f>
        <x:v>60</x:v>
      </x:c>
      <x:c r="E23" s="275" t="n">
        <x:f>I11</x:f>
        <x:v>24</x:v>
      </x:c>
      <x:c r="F23" s="275" t="n">
        <x:f>D23/E23</x:f>
        <x:v>2.5</x:v>
      </x:c>
      <x:c r="G23" s="275" t="n">
        <x:f>SUM($F$22:F23)</x:f>
        <x:v>5.833333333333334</x:v>
      </x:c>
      <x:c r="H23" s="279" t="n">
        <x:f>G23/$B$11</x:f>
        <x:v>0.5833333333333334</x:v>
      </x:c>
      <x:c r="I23" s="275" t="n">
        <x:f>$B$11-G23</x:f>
        <x:v>4.166666666666666</x:v>
      </x:c>
      <x:c r="J23" s="279" t="n">
        <x:v>1</x:v>
      </x:c>
      <x:c r="K23" s="275" t="n">
        <x:f>F23*J23</x:f>
        <x:v>2.5</x:v>
      </x:c>
      <x:c r="L23" s="276" t="n">
        <x:f>K23*($B$19/$K$14)</x:f>
        <x:v>194.57259423196848</x:v>
      </x:c>
    </x:row>
    <x:row r="24" ht="21.75" customHeight="1">
      <x:c r="A24" s="3" t="n">
        <x:v>3</x:v>
      </x:c>
      <x:c r="B24" s="1154" t="n">
        <x:v>12</x:v>
      </x:c>
      <x:c r="C24" s="275" t="n">
        <x:f>$B$15</x:f>
        <x:v>5</x:v>
      </x:c>
      <x:c r="D24" s="275" t="n">
        <x:f>B24*C24</x:f>
        <x:v>60</x:v>
      </x:c>
      <x:c r="E24" s="275" t="n">
        <x:f>I12</x:f>
        <x:v>38.4</x:v>
      </x:c>
      <x:c r="F24" s="275" t="n">
        <x:f>D24/E24</x:f>
        <x:v>1.5625</x:v>
      </x:c>
      <x:c r="G24" s="275" t="n">
        <x:f>SUM($F$22:F24)</x:f>
        <x:v>7.395833333333334</x:v>
      </x:c>
      <x:c r="H24" s="279" t="n">
        <x:f>G24/$B$11</x:f>
        <x:v>0.7395833333333334</x:v>
      </x:c>
      <x:c r="I24" s="275" t="n">
        <x:f>$B$11-G24</x:f>
        <x:v>2.604166666666666</x:v>
      </x:c>
      <x:c r="J24" s="279" t="n">
        <x:f>2/3</x:f>
        <x:v>0.6666666666666666</x:v>
      </x:c>
      <x:c r="K24" s="275" t="n">
        <x:f>F24*J24</x:f>
        <x:v>1.0416666666666665</x:v>
      </x:c>
      <x:c r="L24" s="290" t="n">
        <x:f>K24*($B$19/$K$14)</x:f>
        <x:v>81.0719142633202</x:v>
      </x:c>
    </x:row>
    <x:row r="25" ht="21.75" customHeight="1">
      <x:c r="A25" s="8" t="n">
        <x:v>4</x:v>
      </x:c>
      <x:c r="B25" s="1154" t="n">
        <x:v>12</x:v>
      </x:c>
      <x:c r="C25" s="275" t="n">
        <x:f>$B$15</x:f>
        <x:v>5</x:v>
      </x:c>
      <x:c r="D25" s="275" t="n">
        <x:f>B25*C25</x:f>
        <x:v>60</x:v>
      </x:c>
      <x:c r="E25" s="275" t="n">
        <x:f>I13</x:f>
        <x:v>55.64377358490566</x:v>
      </x:c>
      <x:c r="F25" s="275" t="n">
        <x:f>D25/E25</x:f>
        <x:v>1.0782877604166667</x:v>
      </x:c>
      <x:c r="G25" s="275" t="n">
        <x:f>SUM($F$22:F25)</x:f>
        <x:v>8.47412109375</x:v>
      </x:c>
      <x:c r="H25" s="279" t="n">
        <x:f>G25/$B$11</x:f>
        <x:v>0.847412109375</x:v>
      </x:c>
      <x:c r="I25" s="275" t="n">
        <x:f>$B$11-G25</x:f>
        <x:v>1.52587890625</x:v>
      </x:c>
      <x:c r="J25" s="279" t="n">
        <x:f>1/3</x:f>
        <x:v>0.3333333333333333</x:v>
      </x:c>
      <x:c r="K25" s="275" t="n">
        <x:f>F25*J25</x:f>
        <x:v>0.3594292534722222</x:v>
      </x:c>
      <x:c r="L25" s="276" t="n">
        <x:f>K25*($B$19/$K$14)</x:f>
        <x:v>27.97403291638002</x:v>
      </x:c>
    </x:row>
    <x:row r="26" ht="21.75" customHeight="1">
      <x:c r="A26" s="3" t="n">
        <x:v>5</x:v>
      </x:c>
      <x:c r="B26" s="1154" t="n">
        <x:v>15</x:v>
      </x:c>
      <x:c r="C26" s="290" t="n">
        <x:f>$B$15</x:f>
        <x:v>5</x:v>
      </x:c>
      <x:c r="D26" s="290" t="n">
        <x:f>B26*C26</x:f>
        <x:v>75</x:v>
      </x:c>
      <x:c r="E26" s="290" t="n">
        <x:f>I14</x:f>
        <x:v>72.78571605029477</x:v>
      </x:c>
      <x:c r="F26" s="290" t="n">
        <x:f>D26/E26</x:f>
        <x:v>1.0304219573545883</x:v>
      </x:c>
      <x:c r="G26" s="290" t="n">
        <x:f>SUM($F$22:F26)</x:f>
        <x:v>9.504543051104589</x:v>
      </x:c>
      <x:c r="H26" s="292" t="n">
        <x:f>G26/$B$11</x:f>
        <x:v>0.9504543051104589</x:v>
      </x:c>
      <x:c r="I26" s="290" t="n">
        <x:f>$B$11-G26</x:f>
        <x:v>0.49545694889541103</x:v>
      </x:c>
      <x:c r="J26" s="292" t="n">
        <x:v>0</x:v>
      </x:c>
      <x:c r="K26" s="290" t="n">
        <x:f>F26*J26</x:f>
        <x:v>0</x:v>
      </x:c>
      <x:c r="L26" s="290" t="n">
        <x:f>K26*($B$19/$K$14)</x:f>
        <x:v>0</x:v>
      </x:c>
    </x:row>
    <x:row r="27">
      <x:c r="A27" s="1171" t="str">
        <x:v>ИТОГО</x:v>
      </x:c>
      <x:c r="B27" s="1176" t="n">
        <x:f>SUM(B22:B26)</x:f>
        <x:v>59</x:v>
      </x:c>
      <x:c r="C27" s="1177" t="n">
        <x:f>AVERAGE(C22:C26)</x:f>
        <x:v>5</x:v>
      </x:c>
      <x:c r="D27" s="1177" t="n">
        <x:f>SUM(D22:D26)</x:f>
        <x:v>295</x:v>
      </x:c>
      <x:c r="E27" s="1177"/>
      <x:c r="F27" s="1177" t="n">
        <x:f>SUM(F22:F26)</x:f>
        <x:v>9.504543051104589</x:v>
      </x:c>
      <x:c r="G27" s="1177" t="n">
        <x:f>MAX(G22:G26)</x:f>
        <x:v>9.504543051104589</x:v>
      </x:c>
      <x:c r="H27" s="1178" t="n">
        <x:f>MAX(H22:H26)</x:f>
        <x:v>0.9504543051104589</x:v>
      </x:c>
      <x:c r="I27" s="1177" t="n">
        <x:f>$B$11-G27</x:f>
        <x:v>0.49545694889541103</x:v>
      </x:c>
      <x:c r="J27" s="1171"/>
      <x:c r="K27" s="1177" t="n">
        <x:f>SUM(K22:K26)</x:f>
        <x:v>7.234429253472222</x:v>
      </x:c>
      <x:c r="L27" s="1177" t="n">
        <x:f>SUM(L22:L26)</x:f>
        <x:v>563.0486670542933</x:v>
      </x:c>
    </x:row>
    <x:row r="28" ht="21.75" customHeight="1">
      <x:c r="A28" s="1151" t="str">
        <x:v>3. Что именно существует к продаже после пятого года</x:v>
      </x:c>
      <x:c r="B28" s="1151"/>
      <x:c r="C28" s="1151"/>
      <x:c r="D28" s="1151"/>
      <x:c r="E28" s="1151"/>
      <x:c r="F28" s="1151"/>
      <x:c r="G28" s="1151"/>
      <x:c r="H28" s="1151"/>
      <x:c r="I28" s="1151"/>
      <x:c r="J28" s="1151"/>
      <x:c r="K28" s="1151"/>
      <x:c r="L28" s="1151"/>
    </x:row>
    <x:row r="29" ht="31.5" customHeight="1">
      <x:c r="A29" s="1152" t="str">
        <x:v>Показатель</x:v>
      </x:c>
      <x:c r="B29" s="1152" t="str">
        <x:v>Единиц, млн</x:v>
      </x:c>
      <x:c r="C29" s="1152" t="str">
        <x:v>Доля компании</x:v>
      </x:c>
      <x:c r="D29" s="1152" t="str">
        <x:v>Стоимость при продаже, млн ₽</x:v>
      </x:c>
      <x:c r="E29" s="1152" t="str">
        <x:v>Смысл</x:v>
      </x:c>
      <x:c r="F29" s="2"/>
      <x:c r="G29" s="2"/>
      <x:c r="H29" s="2"/>
      <x:c r="I29" s="2"/>
      <x:c r="J29" s="2"/>
      <x:c r="K29" s="2"/>
      <x:c r="L29" s="2"/>
    </x:row>
    <x:row r="30" ht="28.5" customHeight="1">
      <x:c r="A30" s="3" t="str">
        <x:v>Весь резерв</x:v>
      </x:c>
      <x:c r="B30" s="290" t="n">
        <x:f>$B$11</x:f>
        <x:v>10</x:v>
      </x:c>
      <x:c r="C30" s="306" t="n">
        <x:f>B30/$K$14</x:f>
        <x:v>0.04864314855799212</x:v>
      </x:c>
      <x:c r="D30" s="310" t="n">
        <x:f>B30*($B$19/$K$14)</x:f>
        <x:v>778.2903769278739</x:v>
      </x:c>
      <x:c r="E30" s="15" t="str">
        <x:v>Исходные 10% размываются выпусками инвесторам</x:v>
      </x:c>
      <x:c r="F30" s="13"/>
      <x:c r="G30" s="15"/>
      <x:c r="H30" s="14"/>
      <x:c r="I30" s="14"/>
      <x:c r="J30" s="16"/>
      <x:c r="K30" s="3"/>
      <x:c r="L30" s="3"/>
    </x:row>
    <x:row r="31" ht="28.5" customHeight="1">
      <x:c r="A31" s="17" t="str">
        <x:v>Занято пакетами</x:v>
      </x:c>
      <x:c r="B31" s="303" t="n">
        <x:f>$G$27</x:f>
        <x:v>9.504543051104589</x:v>
      </x:c>
      <x:c r="C31" s="307" t="n">
        <x:f>B31/$K$14</x:f>
        <x:v>0.04623308996107122</x:v>
      </x:c>
      <x:c r="D31" s="311" t="n">
        <x:f>B31*($B$19/$K$14)</x:f>
        <x:v>739.7294393771396</x:v>
      </x:c>
      <x:c r="E31" s="20" t="str">
        <x:v>Включает ещё не закрепившуюся часть последних пакетов</x:v>
      </x:c>
      <x:c r="F31" s="19"/>
      <x:c r="G31" s="20"/>
      <x:c r="H31" s="18"/>
      <x:c r="I31" s="18"/>
      <x:c r="J31" s="21"/>
      <x:c r="K31" s="17"/>
      <x:c r="L31" s="17"/>
    </x:row>
    <x:row r="32" ht="28.5" customHeight="1">
      <x:c r="A32" s="1179" t="str">
        <x:v>Закрепилось к продаже</x:v>
      </x:c>
      <x:c r="B32" s="1180" t="n">
        <x:f>$K$27</x:f>
        <x:v>7.234429253472222</x:v>
      </x:c>
      <x:c r="C32" s="1181" t="n">
        <x:f>B32/$K$14</x:f>
        <x:v>0.035190541690893334</x:v>
      </x:c>
      <x:c r="D32" s="1182" t="n">
        <x:f>$L$27</x:f>
        <x:v>563.0486670542933</x:v>
      </x:c>
      <x:c r="E32" s="1183" t="str">
        <x:v>Эта часть участвует в расчёте валовой стоимости</x:v>
      </x:c>
      <x:c r="F32" s="13"/>
      <x:c r="G32" s="15"/>
      <x:c r="H32" s="14"/>
      <x:c r="I32" s="14"/>
      <x:c r="J32" s="16"/>
      <x:c r="K32" s="3"/>
      <x:c r="L32" s="3"/>
    </x:row>
    <x:row r="33" ht="28.5" customHeight="1">
      <x:c r="A33" s="1184" t="str">
        <x:v>Не закрепилось к продаже</x:v>
      </x:c>
      <x:c r="B33" s="1185" t="n">
        <x:f>B31-B32</x:f>
        <x:v>2.2701137976323666</x:v>
      </x:c>
      <x:c r="C33" s="1186" t="n">
        <x:f>B33/$K$14</x:f>
        <x:v>0.011042548270177886</x:v>
      </x:c>
      <x:c r="D33" s="1187" t="n">
        <x:f>B33*($B$19/$K$14)</x:f>
        <x:v>176.6807723228462</x:v>
      </x:c>
      <x:c r="E33" s="1188" t="str">
        <x:v>Для поздних пакетов 36 месяцев ещё не прошли</x:v>
      </x:c>
    </x:row>
    <x:row r="34" ht="31.5" customHeight="1">
      <x:c r="A34" s="27"/>
      <x:c r="B34" s="27"/>
      <x:c r="C34" s="27"/>
      <x:c r="D34" s="27"/>
      <x:c r="E34" s="27"/>
      <x:c r="F34" s="27"/>
      <x:c r="G34" s="27"/>
      <x:c r="H34" s="27"/>
      <x:c r="I34" s="27"/>
      <x:c r="J34" s="27"/>
      <x:c r="K34" s="27"/>
      <x:c r="L34" s="27"/>
    </x:row>
    <x:row r="35" ht="21.75" customHeight="1">
      <x:c r="A35" s="1151" t="str">
        <x:v>4. Контрольные проверки</x:v>
      </x:c>
      <x:c r="B35" s="1151"/>
      <x:c r="C35" s="1151"/>
      <x:c r="D35" s="1151"/>
      <x:c r="E35" s="1151"/>
      <x:c r="F35" s="1151"/>
      <x:c r="G35" s="1151"/>
      <x:c r="H35" s="1151"/>
      <x:c r="I35" s="1151"/>
      <x:c r="J35" s="1151"/>
      <x:c r="K35" s="1151"/>
      <x:c r="L35" s="1151"/>
    </x:row>
    <x:row r="36" ht="36" customHeight="1">
      <x:c r="A36" s="1152" t="str">
        <x:v>Проверка</x:v>
      </x:c>
      <x:c r="B36" s="1152" t="str">
        <x:v>Факт</x:v>
      </x:c>
      <x:c r="C36" s="1152" t="str">
        <x:v>Ожидается / предел</x:v>
      </x:c>
      <x:c r="D36" s="1152" t="str">
        <x:v>Отклонение</x:v>
      </x:c>
      <x:c r="E36" s="1152" t="str">
        <x:v>Статус</x:v>
      </x:c>
      <x:c r="F36" s="2"/>
      <x:c r="G36" s="2"/>
      <x:c r="H36" s="2"/>
      <x:c r="I36" s="2"/>
      <x:c r="J36" s="2"/>
      <x:c r="K36" s="2"/>
      <x:c r="L36" s="2"/>
    </x:row>
    <x:row r="37" ht="21.75" customHeight="1">
      <x:c r="A37" s="22" t="str">
        <x:v>Всего привлечено за пять раундов, млн ₽</x:v>
      </x:c>
      <x:c r="B37" s="242" t="n">
        <x:f>$F$15</x:f>
        <x:v>4000</x:v>
      </x:c>
      <x:c r="C37" s="268" t="n">
        <x:v>4000</x:v>
      </x:c>
      <x:c r="D37" s="268" t="n">
        <x:f>B37-C37</x:f>
        <x:v>0</x:v>
      </x:c>
      <x:c r="E37" s="315" t="str">
        <x:f>IF(ABS(D37)&lt;0.01,"НОРМА","ПРОВЕРИТЬ")</x:f>
        <x:v>НОРМА</x:v>
      </x:c>
      <x:c r="F37" s="23"/>
      <x:c r="G37" s="24"/>
      <x:c r="H37" s="23"/>
      <x:c r="I37" s="24"/>
      <x:c r="J37" s="25">
        <x:f t="shared" ref="J37:J42" si="0">D37/C37</x:f>
      </x:c>
      <x:c r="K37" s="25">
        <x:f t="shared" ref="K37:K42" si="1">F37/C37</x:f>
      </x:c>
      <x:c r="L37" s="25">
        <x:f t="shared" ref="L37:L42" si="2">H37/C37</x:f>
      </x:c>
    </x:row>
    <x:row r="38" ht="21.75" customHeight="1">
      <x:c r="A38" s="13" t="str">
        <x:v>Стоимость капитала при продаже, млн ₽</x:v>
      </x:c>
      <x:c r="B38" s="242" t="n">
        <x:f>$B$19</x:f>
        <x:v>16000</x:v>
      </x:c>
      <x:c r="C38" s="310" t="n">
        <x:v>16000</x:v>
      </x:c>
      <x:c r="D38" s="310" t="n">
        <x:f>B38-C38</x:f>
        <x:v>0</x:v>
      </x:c>
      <x:c r="E38" s="292" t="str">
        <x:f>IF(ABS(D38)&lt;0.01,"НОРМА","ПРОВЕРИТЬ")</x:f>
        <x:v>НОРМА</x:v>
      </x:c>
      <x:c r="F38" s="14"/>
      <x:c r="G38" s="26"/>
      <x:c r="H38" s="14"/>
      <x:c r="I38" s="26"/>
      <x:c r="J38" s="16">
        <x:f t="shared" si="0"/>
      </x:c>
      <x:c r="K38" s="16">
        <x:f t="shared" si="1"/>
      </x:c>
      <x:c r="L38" s="16">
        <x:f t="shared" si="2"/>
      </x:c>
    </x:row>
    <x:row r="39" ht="21.75" customHeight="1">
      <x:c r="A39" s="22" t="str">
        <x:v>Размытие рассчитано из фактических раундов</x:v>
      </x:c>
      <x:c r="B39" s="279" t="n">
        <x:f>$L$14</x:f>
        <x:v>0.5135685144200788</x:v>
      </x:c>
      <x:c r="C39" s="315" t="n">
        <x:f>1-$B$10/$K$14</x:f>
        <x:v>0.5135685144200788</x:v>
      </x:c>
      <x:c r="D39" s="315" t="n">
        <x:f>B39-C39</x:f>
        <x:v>0</x:v>
      </x:c>
      <x:c r="E39" s="315" t="str">
        <x:f>IF(ABS(D39)&lt;0.0000001,"НОРМА","ПРОВЕРИТЬ")</x:f>
        <x:v>НОРМА</x:v>
      </x:c>
      <x:c r="F39" s="23"/>
      <x:c r="G39" s="24"/>
      <x:c r="H39" s="23"/>
      <x:c r="I39" s="24"/>
      <x:c r="J39" s="25">
        <x:f t="shared" si="0"/>
      </x:c>
      <x:c r="K39" s="25">
        <x:f t="shared" si="1"/>
      </x:c>
      <x:c r="L39" s="25">
        <x:f t="shared" si="2"/>
      </x:c>
    </x:row>
    <x:row r="40" ht="21.75" customHeight="1">
      <x:c r="A40" s="13" t="str">
        <x:v>Занято расчётных единиц не больше резерва</x:v>
      </x:c>
      <x:c r="B40" s="275" t="n">
        <x:f>$G$27</x:f>
        <x:v>9.504543051104589</x:v>
      </x:c>
      <x:c r="C40" s="290" t="n">
        <x:f>$B$11</x:f>
        <x:v>10</x:v>
      </x:c>
      <x:c r="D40" s="290" t="n">
        <x:f>B40-C40</x:f>
        <x:v>-0.49545694889541103</x:v>
      </x:c>
      <x:c r="E40" s="292" t="str">
        <x:f>IF(B40&lt;=C40,"НОРМА","СТОП")</x:f>
        <x:v>НОРМА</x:v>
      </x:c>
      <x:c r="F40" s="14"/>
      <x:c r="G40" s="26"/>
      <x:c r="H40" s="14"/>
      <x:c r="I40" s="26"/>
      <x:c r="J40" s="16">
        <x:f t="shared" si="0"/>
      </x:c>
      <x:c r="K40" s="16">
        <x:f t="shared" si="1"/>
      </x:c>
      <x:c r="L40" s="16">
        <x:f t="shared" si="2"/>
      </x:c>
    </x:row>
    <x:row r="41" ht="21.75" customHeight="1">
      <x:c r="A41" s="22" t="str">
        <x:v>Свободный резерв не отрицателен</x:v>
      </x:c>
      <x:c r="B41" s="275" t="n">
        <x:f>$I$27</x:f>
        <x:v>0.49545694889541103</x:v>
      </x:c>
      <x:c r="C41" s="276" t="n">
        <x:v>0</x:v>
      </x:c>
      <x:c r="D41" s="276" t="n">
        <x:f>B41-C41</x:f>
        <x:v>0.49545694889541103</x:v>
      </x:c>
      <x:c r="E41" s="315" t="str">
        <x:f>IF(B41&gt;=C41,"НОРМА","СТОП")</x:f>
        <x:v>НОРМА</x:v>
      </x:c>
      <x:c r="F41" s="23"/>
      <x:c r="G41" s="24"/>
      <x:c r="H41" s="23"/>
      <x:c r="I41" s="24"/>
      <x:c r="J41" s="25">
        <x:f t="shared" si="0"/>
      </x:c>
      <x:c r="K41" s="25">
        <x:f t="shared" si="1"/>
      </x:c>
      <x:c r="L41" s="25">
        <x:f t="shared" si="2"/>
      </x:c>
    </x:row>
    <x:row r="42" ht="21.75" customHeight="1">
      <x:c r="A42" s="1189" t="str">
        <x:v>СТАТУС МОДЕЛИ</x:v>
      </x:c>
      <x:c r="B42" s="1189"/>
      <x:c r="C42" s="1193"/>
      <x:c r="D42" s="1193"/>
      <x:c r="E42" s="1194" t="str">
        <x:f>IF(COUNTIF(E37:E41,"&lt;&gt;НОРМА")=0,"ПРОЙДЕНО","ПРОВЕРИТЬ")</x:f>
        <x:v>ПРОЙДЕНО</x:v>
      </x:c>
      <x:c r="F42" s="14"/>
      <x:c r="G42" s="26"/>
      <x:c r="H42" s="14"/>
      <x:c r="I42" s="26"/>
      <x:c r="J42" s="16">
        <x:f t="shared" si="0"/>
      </x:c>
      <x:c r="K42" s="16">
        <x:f t="shared" si="1"/>
      </x:c>
      <x:c r="L42" s="16">
        <x:f t="shared" si="2"/>
      </x:c>
    </x:row>
    <x:row r="44" ht="21.75" customHeight="1">
      <x:c r="A44" s="1151" t="str">
        <x:v>5. Как читать модель</x:v>
      </x:c>
      <x:c r="B44" s="1151"/>
      <x:c r="C44" s="1151"/>
      <x:c r="D44" s="1151"/>
      <x:c r="E44" s="1151"/>
      <x:c r="F44" s="1151"/>
      <x:c r="G44" s="1151"/>
      <x:c r="H44" s="1151"/>
      <x:c r="I44" s="1151"/>
      <x:c r="J44" s="1151"/>
      <x:c r="K44" s="1151"/>
      <x:c r="L44" s="1151"/>
    </x:row>
    <x:row r="45" ht="22.5" customHeight="1">
      <x:c r="A45" s="323" t="str">
        <x:v>1. Совет выбирает 8 участников в первый год, до 12 в годы 2–4 и до 15 в пятом году как резерв максимального расширения. Ёмкость проверяется по максимальному пакету 1,0 оклада, или 5 млн ₽.</x:v>
      </x:c>
      <x:c r="B45" s="323"/>
      <x:c r="C45" s="323"/>
      <x:c r="D45" s="323"/>
      <x:c r="E45" s="323"/>
      <x:c r="F45" s="323"/>
      <x:c r="G45" s="323"/>
      <x:c r="H45" s="323"/>
      <x:c r="I45" s="323"/>
      <x:c r="J45" s="323"/>
      <x:c r="K45" s="323"/>
      <x:c r="L45" s="323"/>
    </x:row>
    <x:row r="46" ht="22.5" customHeight="1">
      <x:c r="A46" s="324" t="str">
        <x:v>2. Цена расчётной единицы фиксируется по оценке и числу расчётных единиц на начало каждого цикла; будущий раунд не пересчитывает уже выданный пакет.</x:v>
      </x:c>
      <x:c r="B46" s="324"/>
      <x:c r="C46" s="324"/>
      <x:c r="D46" s="324"/>
      <x:c r="E46" s="324"/>
      <x:c r="F46" s="324"/>
      <x:c r="G46" s="324"/>
      <x:c r="H46" s="324"/>
      <x:c r="I46" s="324"/>
      <x:c r="J46" s="324"/>
      <x:c r="K46" s="324"/>
      <x:c r="L46" s="324"/>
    </x:row>
    <x:row r="47" ht="22.5" customHeight="1">
      <x:c r="A47" s="325" t="str">
        <x:v>3. Пять раундов моделируются напрямую: 0,4 / 0,4 / 0,6 / 1,0 / 1,6 млрд ₽. Суммарное размытие рассчитывается из новых выпусков, а не задаётся вручную.</x:v>
      </x:c>
      <x:c r="B47" s="325"/>
      <x:c r="C47" s="325"/>
      <x:c r="D47" s="325"/>
      <x:c r="E47" s="325"/>
      <x:c r="F47" s="325"/>
      <x:c r="G47" s="325"/>
      <x:c r="H47" s="325"/>
      <x:c r="I47" s="325"/>
      <x:c r="J47" s="325"/>
      <x:c r="K47" s="325"/>
      <x:c r="L47" s="325"/>
    </x:row>
    <x:row r="48" ht="22.5" customHeight="1">
      <x:c r="A48" s="326" t="str">
        <x:v>4. Продажа происходит сразу после пятого года при стоимости капитала 16 млрд ₽: прибыль до процентов, налогов и амортизации 2 млрд ₽ × 8.</x:v>
      </x:c>
      <x:c r="B48" s="326"/>
      <x:c r="C48" s="326"/>
      <x:c r="D48" s="326"/>
      <x:c r="E48" s="326"/>
      <x:c r="F48" s="326"/>
      <x:c r="G48" s="326"/>
      <x:c r="H48" s="326"/>
      <x:c r="I48" s="326"/>
      <x:c r="J48" s="326"/>
      <x:c r="K48" s="326"/>
      <x:c r="L48" s="326"/>
    </x:row>
    <x:row r="49" ht="22.5" customHeight="1">
      <x:c r="A49" s="76" t="str">
        <x:v>5. Права закрепляются 36 месяцев после подтверждения результата: пакеты лет 3–5 к продаже закрепились только частично или ещё не закрепились.</x:v>
      </x:c>
      <x:c r="B49" s="76"/>
      <x:c r="C49" s="76"/>
      <x:c r="D49" s="76"/>
      <x:c r="E49" s="76"/>
      <x:c r="F49" s="76"/>
      <x:c r="G49" s="76"/>
      <x:c r="H49" s="76"/>
      <x:c r="I49" s="76"/>
      <x:c r="J49" s="76"/>
      <x:c r="K49" s="76"/>
      <x:c r="L49" s="76"/>
    </x:row>
    <x:row r="50" ht="33" customHeight="1">
      <x:c r="A50" s="1195" t="str">
        <x:v>Все суммы — валовые до налогов, долга, расходов и порядка распределения выплат. Это управленческая модель, а не обещание выплаты. Расчёты соответствуют модели сайта.</x:v>
      </x:c>
      <x:c r="B50" s="1195"/>
      <x:c r="C50" s="1195"/>
      <x:c r="D50" s="1195"/>
      <x:c r="E50" s="1195"/>
      <x:c r="F50" s="1195"/>
      <x:c r="G50" s="1195"/>
      <x:c r="H50" s="1195"/>
      <x:c r="I50" s="1195"/>
      <x:c r="J50" s="1195"/>
      <x:c r="K50" s="1195"/>
      <x:c r="L50" s="1195"/>
    </x:row>
  </x:sheetData>
  <x:mergeCells>
    <x:mergeCell ref="A1:L1"/>
    <x:mergeCell ref="A2:L2"/>
    <x:mergeCell ref="A4:C4"/>
    <x:mergeCell ref="D4:F4"/>
    <x:mergeCell ref="G4:I4"/>
    <x:mergeCell ref="J4:L4"/>
    <x:mergeCell ref="A5:C5"/>
    <x:mergeCell ref="D5:F5"/>
    <x:mergeCell ref="G5:I5"/>
    <x:mergeCell ref="J5:L5"/>
    <x:mergeCell ref="A8:L8"/>
    <x:mergeCell ref="A20:L20"/>
    <x:mergeCell ref="A28:L28"/>
    <x:mergeCell ref="A35:L35"/>
    <x:mergeCell ref="A44:L44"/>
    <x:mergeCell ref="E29:L29"/>
    <x:mergeCell ref="E30:L30"/>
    <x:mergeCell ref="E31:L31"/>
    <x:mergeCell ref="E32:L32"/>
    <x:mergeCell ref="E33:L33"/>
    <x:mergeCell ref="A45:L45"/>
    <x:mergeCell ref="A46:L46"/>
    <x:mergeCell ref="A47:L47"/>
    <x:mergeCell ref="A48:L48"/>
    <x:mergeCell ref="A49:L49"/>
    <x:mergeCell ref="A50:L50"/>
  </x:mergeCells>
  <x:conditionalFormatting sqref="K30:K32">
    <x:cfRule type="containsText" dxfId="0" priority="1" operator="containsText" text="В ПРЕДЕЛАХ"/>
    <x:cfRule type="containsText" dxfId="1" priority="2" operator="containsText" text="СТОП"/>
  </x:conditionalFormatting>
  <x:dataValidations count="7">
    <x:dataValidation type="decimal" errorTitle="Пакет вне диапазона" error="Введите значение от 0,50 до 1,50." sqref="I10:I12">
      <x:formula1>0.5</x:formula1>
      <x:formula2>1.5</x:formula2>
    </x:dataValidation>
    <x:dataValidation type="decimal" error="Введите результат от 0% до 100%." sqref="B15">
      <x:formula1>0</x:formula1>
      <x:formula2>1</x:formula2>
    </x:dataValidation>
    <x:dataValidation type="whole" error="Введите целое число от 0 до 20." sqref="C22:E25">
      <x:formula1>0</x:formula1>
      <x:formula2>20</x:formula2>
    </x:dataValidation>
    <x:dataValidation type="whole" error="Введите номер раунда от 0 до 5." sqref="B22:B25">
      <x:formula1>0</x:formula1>
      <x:formula2>5</x:formula2>
    </x:dataValidation>
    <x:dataValidation type="decimal" operator="greaterThan" error="Вес роста должен быть больше нуля." sqref="B38:B42">
      <x:formula1>0</x:formula1>
      <x:formula2>0</x:formula2>
    </x:dataValidation>
    <x:dataValidation type="decimal" showInputMessage="1" showErrorMessage="1" errorTitle="Некорректная доля пула" error="Введите долю пула от 0,1% до 50%." promptTitle="Доля пула" prompt="Значение должно быть больше нуля." sqref="B13">
      <x:formula1>0.001</x:formula1>
      <x:formula2>0.5</x:formula2>
    </x:dataValidation>
    <x:dataValidation type="decimal" showInputMessage="1" showErrorMessage="1" errorTitle="Некорректное размытие" error="Введите размытие от 0% до 50%." promptTitle="Размытие раунда" prompt="Значение 100% недопустимо, так как приводит к делению на ноль." sqref="B14">
      <x:formula1>0</x:formula1>
      <x:formula2>0.5</x:formula2>
    </x:dataValidation>
  </x:dataValidations>
  <x:pageMargins left="0.7" right="0.7" top="0.75" bottom="0.75" header="0.3" footer="0.3"/>
  <x:legacyDrawing xmlns:r="http://schemas.openxmlformats.org/officeDocument/2006/relationships" r:id="R5b001ef0c4b6487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.630001068115234" hidden="0" customWidth="1"/>
    <x:col min="2" max="2" width="19.3799991607666" hidden="0" customWidth="1"/>
    <x:col min="3" max="3" width="4.380000114440918" hidden="0" customWidth="1"/>
    <x:col min="4" max="4" width="23.75" hidden="0" customWidth="1"/>
    <x:col min="5" max="5" width="33.75" hidden="0" customWidth="1"/>
    <x:col min="6" max="6" width="16.8799991607666" hidden="0" customWidth="1"/>
    <x:col min="7" max="7" width="16.8799991607666" hidden="0" customWidth="1"/>
    <x:col min="8" max="8" width="22.5" hidden="0" customWidth="1"/>
  </x:cols>
  <x:sheetData>
    <x:row r="1" ht="25.5" hidden="0" customHeight="1">
      <x:c r="A1" s="1142" t="str">
        <x:v>Личный пример: пять ежегодных пакетов и продажа после пятого года</x:v>
      </x:c>
      <x:c r="B1" s="56"/>
      <x:c r="C1" s="56"/>
      <x:c r="D1" s="56"/>
      <x:c r="E1" s="56"/>
      <x:c r="F1" s="56"/>
      <x:c r="G1" s="56"/>
      <x:c r="H1" s="56"/>
    </x:row>
    <x:row r="2" ht="31.5" hidden="0" customHeight="1">
      <x:c r="A2" s="1196" t="str">
        <x:v>Закрепление права — постепенный переход уже заработанного пакета: 1/12 каждые три месяца в течение 36 месяцев после годового подтверждения результата.</x:v>
      </x:c>
      <x:c r="B2" s="1196"/>
      <x:c r="C2" s="1196"/>
      <x:c r="D2" s="1196"/>
      <x:c r="E2" s="1196"/>
      <x:c r="F2" s="1196"/>
      <x:c r="G2" s="1196"/>
      <x:c r="H2" s="1196"/>
    </x:row>
    <x:row r="3"/>
    <x:row r="4" ht="36" hidden="0" customHeight="1">
      <x:c r="A4" s="1158" t="str">
        <x:v>Общие допущения</x:v>
      </x:c>
      <x:c r="B4" s="1158" t="str">
        <x:v>Значение</x:v>
      </x:c>
      <x:c r="D4" s="1158" t="str">
        <x:v>Год</x:v>
      </x:c>
      <x:c r="E4" s="1158" t="str">
        <x:v>Начальная цена, ₽</x:v>
      </x:c>
      <x:c r="F4" s="1158" t="str">
        <x:v>Расчётных единиц пакета, млн</x:v>
      </x:c>
      <x:c r="G4" s="1158" t="str">
        <x:v>Закрепилось к продаже</x:v>
      </x:c>
      <x:c r="H4" s="1158" t="str">
        <x:v>Валовая стоимость, млн ₽</x:v>
      </x:c>
    </x:row>
    <x:row r="5" ht="15" hidden="0" customHeight="1">
      <x:c r="A5" s="76" t="str">
        <x:v>Годовой оклад, млн ₽</x:v>
      </x:c>
      <x:c r="B5" s="337" t="n">
        <x:f>'Калькулятор'!B13</x:f>
        <x:v>5</x:v>
      </x:c>
      <x:c r="D5" s="76" t="n">
        <x:v>1</x:v>
      </x:c>
      <x:c r="E5" s="352" t="n">
        <x:f>'Калькулятор'!I10</x:f>
        <x:v>12</x:v>
      </x:c>
      <x:c r="F5" s="353" t="n">
        <x:f>$B$8/E5</x:f>
        <x:v>0.3958333333333333</x:v>
      </x:c>
      <x:c r="G5" s="354" t="n">
        <x:f>'Калькулятор'!J22</x:f>
        <x:v>1</x:v>
      </x:c>
      <x:c r="H5" s="243" t="n">
        <x:f>F5*G5*$B$10</x:f>
        <x:v>30.807327420061675</x:v>
      </x:c>
    </x:row>
    <x:row r="6" ht="15" hidden="0" customHeight="1">
      <x:c r="A6" s="76" t="str">
        <x:v>Целевой множитель пакета, ×</x:v>
      </x:c>
      <x:c r="B6" s="338" t="n">
        <x:f>'Калькулятор'!B14</x:f>
        <x:v>1</x:v>
      </x:c>
      <x:c r="D6" s="76" t="n">
        <x:v>2</x:v>
      </x:c>
      <x:c r="E6" s="352" t="n">
        <x:f>'Калькулятор'!I11</x:f>
        <x:v>24</x:v>
      </x:c>
      <x:c r="F6" s="353" t="n">
        <x:f>$B$8/E6</x:f>
        <x:v>0.19791666666666666</x:v>
      </x:c>
      <x:c r="G6" s="354" t="n">
        <x:f>'Калькулятор'!J23</x:f>
        <x:v>1</x:v>
      </x:c>
      <x:c r="H6" s="243" t="n">
        <x:f>F6*G6*$B$10</x:f>
        <x:v>15.403663710030838</x:v>
      </x:c>
    </x:row>
    <x:row r="7" ht="15" hidden="0" customHeight="1">
      <x:c r="A7" s="76" t="str">
        <x:v>Подтверждённый результат</x:v>
      </x:c>
      <x:c r="B7" s="1199" t="n">
        <x:v>0.95</x:v>
      </x:c>
      <x:c r="D7" s="76" t="n">
        <x:v>3</x:v>
      </x:c>
      <x:c r="E7" s="352" t="n">
        <x:f>'Калькулятор'!I12</x:f>
        <x:v>38.4</x:v>
      </x:c>
      <x:c r="F7" s="353" t="n">
        <x:f>$B$8/E7</x:f>
        <x:v>0.12369791666666667</x:v>
      </x:c>
      <x:c r="G7" s="354" t="n">
        <x:f>'Калькулятор'!J24</x:f>
        <x:v>0.6666666666666666</x:v>
      </x:c>
      <x:c r="H7" s="243" t="n">
        <x:f>F7*G7*$B$10</x:f>
        <x:v>6.41819321251285</x:v>
      </x:c>
    </x:row>
    <x:row r="8" ht="15" hidden="0" customHeight="1">
      <x:c r="A8" s="76" t="str">
        <x:v>Заработанный пакет на год, млн ₽</x:v>
      </x:c>
      <x:c r="B8" s="341" t="n">
        <x:f>B5*B6*B7</x:f>
        <x:v>4.75</x:v>
      </x:c>
      <x:c r="D8" s="76" t="n">
        <x:v>4</x:v>
      </x:c>
      <x:c r="E8" s="352" t="n">
        <x:f>'Калькулятор'!I13</x:f>
        <x:v>55.64377358490566</x:v>
      </x:c>
      <x:c r="F8" s="353" t="n">
        <x:f>$B$8/E8</x:f>
        <x:v>0.08536444769965278</x:v>
      </x:c>
      <x:c r="G8" s="354" t="n">
        <x:f>'Калькулятор'!J25</x:f>
        <x:v>0.3333333333333333</x:v>
      </x:c>
      <x:c r="H8" s="243" t="n">
        <x:f>F8*G8*$B$10</x:f>
        <x:v>2.214610939213418</x:v>
      </x:c>
    </x:row>
    <x:row r="9" ht="15" hidden="0" customHeight="1">
      <x:c r="A9" s="76" t="str">
        <x:v>Расчётных единиц при продаже, млн</x:v>
      </x:c>
      <x:c r="B9" s="340" t="n">
        <x:f>'Калькулятор'!K14</x:f>
        <x:v>205.57879776384232</x:v>
      </x:c>
      <x:c r="D9" s="76" t="n">
        <x:v>5</x:v>
      </x:c>
      <x:c r="E9" s="352" t="n">
        <x:f>'Калькулятор'!I14</x:f>
        <x:v>72.78571605029477</x:v>
      </x:c>
      <x:c r="F9" s="353" t="n">
        <x:f>$B$8/E9</x:f>
        <x:v>0.06526005729912392</x:v>
      </x:c>
      <x:c r="G9" s="354" t="n">
        <x:f>'Калькулятор'!J26</x:f>
        <x:v>0</x:v>
      </x:c>
      <x:c r="H9" s="243" t="n">
        <x:f>F9*G9*$B$10</x:f>
        <x:v>0</x:v>
      </x:c>
    </x:row>
    <x:row r="10" ht="15" hidden="0" customHeight="1">
      <x:c r="A10" s="76" t="str">
        <x:v>Цена расчётной единицы при продаже, ₽</x:v>
      </x:c>
      <x:c r="B10" s="341" t="n">
        <x:f>'Калькулятор'!B19/B9</x:f>
        <x:v>77.8290376927874</x:v>
      </x:c>
      <x:c r="D10" s="1200" t="str">
        <x:v>ИТОГО</x:v>
      </x:c>
      <x:c r="E10" s="1200"/>
      <x:c r="F10" s="1177" t="n">
        <x:f>SUM(F5:F9)</x:f>
        <x:v>0.8680724216654433</x:v>
      </x:c>
      <x:c r="G10" s="1171"/>
      <x:c r="H10" s="1161" t="n">
        <x:f>SUM(H5:H9)</x:f>
        <x:v>54.84379528181877</x:v>
      </x:c>
    </x:row>
    <x:row r="11" ht="15" hidden="0" customHeight="1">
      <x:c r="A11" s="76"/>
      <x:c r="B11" s="95"/>
      <x:c r="D11" s="76"/>
      <x:c r="E11" s="76"/>
      <x:c r="F11" s="84"/>
    </x:row>
    <x:row r="12" ht="22.5" hidden="0" customHeight="1">
      <x:c r="A12" s="1158" t="str">
        <x:v>Итог личного примера</x:v>
      </x:c>
      <x:c r="B12" s="1202" t="str">
        <x:v>Значение</x:v>
      </x:c>
      <x:c r="D12" s="1204" t="str">
        <x:v>Почему не вся сумма закрепилась</x:v>
      </x:c>
      <x:c r="E12" s="1204"/>
      <x:c r="F12" s="1205"/>
      <x:c r="G12" s="1206"/>
      <x:c r="H12" s="1206"/>
    </x:row>
    <x:row r="13" ht="25.5" hidden="0" customHeight="1">
      <x:c r="A13" s="76" t="str">
        <x:v>Полная стоимость пяти пакетов, млн ₽</x:v>
      </x:c>
      <x:c r="B13" s="339" t="n">
        <x:f>SUM(F5:F9)*B10</x:f>
        <x:v>67.56124122586903</x:v>
      </x:c>
      <x:c r="D13" s="76" t="str">
        <x:v>Пакеты лет 1–2 к продаже прошли все 36 месяцев.</x:v>
      </x:c>
      <x:c r="E13" s="76"/>
      <x:c r="F13" s="372"/>
      <x:c r="G13" s="76"/>
      <x:c r="H13" s="76"/>
    </x:row>
    <x:row r="14" ht="25.5" hidden="0" customHeight="1">
      <x:c r="A14" s="1200" t="str">
        <x:v>Закрепившаяся стоимость, млн ₽</x:v>
      </x:c>
      <x:c r="B14" s="1161" t="n">
        <x:f>SUM(H5:H9)</x:f>
        <x:v>54.84379528181877</x:v>
      </x:c>
      <x:c r="D14" s="76" t="str">
        <x:v>Пакет года 3 закрепился на 2/3, года 4 — на 1/3.</x:v>
      </x:c>
      <x:c r="E14" s="76"/>
      <x:c r="F14" s="372"/>
      <x:c r="G14" s="76"/>
      <x:c r="H14" s="76"/>
    </x:row>
    <x:row r="15" ht="25.5" hidden="0" customHeight="1">
      <x:c r="A15" s="1188" t="str">
        <x:v>Незакрепившаяся стоимость, млн ₽</x:v>
      </x:c>
      <x:c r="B15" s="1203" t="n">
        <x:f>B13-B14</x:f>
        <x:v>12.717445944050255</x:v>
      </x:c>
      <x:c r="D15" s="76" t="str">
        <x:v>Пакет года 5 только подтверждён и ещё не начал закрепляться.</x:v>
      </x:c>
      <x:c r="E15" s="76"/>
      <x:c r="F15" s="373"/>
      <x:c r="G15" s="76"/>
      <x:c r="H15" s="76"/>
    </x:row>
    <x:row r="16" ht="25.5" hidden="0" customHeight="1">
      <x:c r="A16" s="76" t="str">
        <x:v>Закрепившиеся расчётные единицы, млн</x:v>
      </x:c>
      <x:c r="B16" s="367" t="n">
        <x:f>F5*G5+F6*G6+F7*G7+F8*G8+F9*G9</x:f>
        <x:v>0.7046700936776621</x:v>
      </x:c>
      <x:c r="D16" s="76" t="str">
        <x:v>Незакрепившаяся часть не включена в показанную валовую стоимость.</x:v>
      </x:c>
      <x:c r="E16" s="76"/>
      <x:c r="F16" s="373"/>
      <x:c r="G16" s="76"/>
      <x:c r="H16" s="76"/>
    </x:row>
    <x:row r="17" ht="15" hidden="0" customHeight="1">
      <x:c r="A17" s="76"/>
      <x:c r="B17" s="79"/>
      <x:c r="D17" s="1334"/>
      <x:c r="E17" s="1334"/>
      <x:c r="F17" s="1334"/>
      <x:c r="G17" s="1334"/>
      <x:c r="H17" s="1334"/>
    </x:row>
    <x:row r="18" ht="15" hidden="0" customHeight="1">
      <x:c r="A18" s="76"/>
      <x:c r="B18" s="65"/>
      <x:c r="D18" s="1334"/>
      <x:c r="E18" s="1338"/>
      <x:c r="F18" s="1338"/>
      <x:c r="G18" s="1338"/>
      <x:c r="H18" s="1338"/>
    </x:row>
    <x:row r="19"/>
    <x:row r="20" ht="22.5" hidden="0" customHeight="1">
      <x:c r="A20" s="1158" t="str">
        <x:v>Момент</x:v>
      </x:c>
      <x:c r="B20" s="1158" t="str">
        <x:v>Что происходит</x:v>
      </x:c>
      <x:c r="C20" s="1158"/>
      <x:c r="D20" s="1158" t="str">
        <x:v>Состояние прав</x:v>
      </x:c>
      <x:c r="E20" s="75"/>
      <x:c r="F20" s="75"/>
      <x:c r="G20" s="75"/>
      <x:c r="H20" s="75"/>
    </x:row>
    <x:row r="21" ht="42" hidden="0" customHeight="1">
      <x:c r="A21" s="101" t="str">
        <x:v>Начало года</x:v>
      </x:c>
      <x:c r="B21" s="101" t="str">
        <x:v>Фиксируются участник, пакет, показатели и цена</x:v>
      </x:c>
      <x:c r="C21" s="101"/>
      <x:c r="D21" s="101" t="str">
        <x:v>Условная возможность</x:v>
      </x:c>
    </x:row>
    <x:row r="22" ht="42" hidden="0" customHeight="1">
      <x:c r="A22" s="101" t="str">
        <x:v>Конец года</x:v>
      </x:c>
      <x:c r="B22" s="101" t="str">
        <x:v>После итогового расчёта начинается закрепление права</x:v>
      </x:c>
      <x:c r="C22" s="101"/>
      <x:c r="D22" s="101" t="str">
        <x:v>По 1/12 за полный квартал</x:v>
      </x:c>
    </x:row>
    <x:row r="23" ht="28.5" hidden="0" customHeight="1">
      <x:c r="A23" s="101" t="str">
        <x:v>Через 12 месяцев</x:v>
      </x:c>
      <x:c r="B23" s="101" t="str">
        <x:v>Прошли четыре квартала</x:v>
      </x:c>
      <x:c r="C23" s="101"/>
      <x:c r="D23" s="101" t="str">
        <x:v>Закрепилась 1/3</x:v>
      </x:c>
    </x:row>
    <x:row r="24" ht="28.5" hidden="0" customHeight="1">
      <x:c r="A24" s="101" t="str">
        <x:v>Через 24 месяца</x:v>
      </x:c>
      <x:c r="B24" s="101" t="str">
        <x:v>Прошли восемь кварталов</x:v>
      </x:c>
      <x:c r="C24" s="101"/>
      <x:c r="D24" s="101" t="str">
        <x:v>Закрепилось 2/3</x:v>
      </x:c>
    </x:row>
    <x:row r="25" ht="28.5" hidden="0" customHeight="1">
      <x:c r="A25" s="101" t="str">
        <x:v>Через 36 месяцев</x:v>
      </x:c>
      <x:c r="B25" s="101" t="str">
        <x:v>Прошли двенадцать кварталов</x:v>
      </x:c>
      <x:c r="C25" s="101"/>
      <x:c r="D25" s="101" t="str">
        <x:v>Закрепилось 100%</x:v>
      </x:c>
    </x:row>
    <x:row r="26"/>
    <x:row r="27" ht="15" hidden="0" customHeight="1">
      <x:c r="E27" t="str">
        <x:v>Контрольные проверки</x:v>
      </x:c>
    </x:row>
    <x:row r="28" ht="22.5" hidden="0" customHeight="1">
      <x:c r="E28" s="1158" t="str">
        <x:v>Проверка</x:v>
      </x:c>
      <x:c r="F28" s="1158" t="str">
        <x:v>Ожидается</x:v>
      </x:c>
      <x:c r="G28" s="1158" t="str">
        <x:v>Факт</x:v>
      </x:c>
      <x:c r="H28" s="1158" t="str">
        <x:v>Статус</x:v>
      </x:c>
    </x:row>
    <x:row r="29" ht="19.5" hidden="0" customHeight="1">
      <x:c r="E29" t="str">
        <x:v>Закрепившаяся стоимость</x:v>
      </x:c>
      <x:c r="F29" s="377" t="n">
        <x:f>B16*B10</x:f>
        <x:v>54.843795281818785</x:v>
      </x:c>
      <x:c r="G29" s="243" t="n">
        <x:f>B14</x:f>
        <x:v>54.84379528181877</x:v>
      </x:c>
      <x:c r="H29" s="236" t="str">
        <x:f>IF(ABS(G29-F29)&lt;0.01,"НОРМА","ПРОВЕРИТЬ")</x:f>
        <x:v>НОРМА</x:v>
      </x:c>
    </x:row>
    <x:row r="30" ht="19.5" hidden="0" customHeight="1">
      <x:c r="E30" t="str">
        <x:v>Полная стоимость пяти пакетов</x:v>
      </x:c>
      <x:c r="F30" s="377" t="n">
        <x:f>SUM(F5:F9)*B10</x:f>
        <x:v>67.56124122586903</x:v>
      </x:c>
      <x:c r="G30" s="243" t="n">
        <x:f>B13</x:f>
        <x:v>67.56124122586903</x:v>
      </x:c>
      <x:c r="H30" s="236" t="str">
        <x:f>IF(ABS(G30-F30)&lt;0.01,"НОРМА","ПРОВЕРИТЬ")</x:f>
        <x:v>НОРМА</x:v>
      </x:c>
    </x:row>
    <x:row r="31" ht="19.5" hidden="0" customHeight="1">
      <x:c r="E31" t="str">
        <x:v>Пакет равен окладу × множитель × результат</x:v>
      </x:c>
      <x:c r="F31" s="378" t="n">
        <x:f>B5*B6*B7</x:f>
        <x:v>4.75</x:v>
      </x:c>
      <x:c r="G31" s="243" t="n">
        <x:f>B8</x:f>
        <x:v>4.75</x:v>
      </x:c>
      <x:c r="H31" s="236" t="str">
        <x:f>IF(ABS(G31-F31)&lt;0.000001,"НОРМА","ПРОВЕРИТЬ")</x:f>
        <x:v>НОРМА</x:v>
      </x:c>
    </x:row>
    <x:row r="32" ht="19.5" hidden="0" customHeight="1">
      <x:c r="E32" t="str">
        <x:v>Пять ежегодных пакетов</x:v>
      </x:c>
      <x:c r="F32" s="505" t="n">
        <x:v>5</x:v>
      </x:c>
      <x:c r="G32" s="505" t="n">
        <x:v>5</x:v>
      </x:c>
      <x:c r="H32" t="str">
        <x:v>НОРМА</x:v>
      </x:c>
    </x:row>
  </x:sheetData>
  <x:mergeCells>
    <x:mergeCell ref="A1:H1"/>
    <x:mergeCell ref="A2:H2"/>
    <x:mergeCell ref="D12:H12"/>
    <x:mergeCell ref="D13:H13"/>
    <x:mergeCell ref="D14:H14"/>
    <x:mergeCell ref="D15:H15"/>
    <x:mergeCell ref="D16:H16"/>
    <x:mergeCell ref="B20:C20"/>
    <x:mergeCell ref="B21:C21"/>
    <x:mergeCell ref="B22:C22"/>
    <x:mergeCell ref="B23:C23"/>
    <x:mergeCell ref="B24:C24"/>
    <x:mergeCell ref="B25:C25"/>
    <x:mergeCell ref="E27:H2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130001068115234" hidden="0" customWidth="1"/>
    <x:col min="2" max="2" width="58.75" hidden="0" customWidth="1"/>
    <x:col min="3" max="3" width="63.75" hidden="0" customWidth="1"/>
    <x:col min="4" max="4" width="16" hidden="0" customWidth="1"/>
    <x:col min="5" max="5" width="16" hidden="0" customWidth="1"/>
    <x:col min="6" max="6" width="16" hidden="0" customWidth="1"/>
  </x:cols>
  <x:sheetData>
    <x:row r="1" ht="25.5" hidden="0" customHeight="1">
      <x:c r="A1" s="1142" t="str">
        <x:v>LTI — правила, которым соответствует калькулятор</x:v>
      </x:c>
      <x:c r="B1" s="56"/>
      <x:c r="C1" s="56"/>
      <x:c r="D1" s="56"/>
      <x:c r="E1" s="56"/>
      <x:c r="F1" s="56"/>
      <x:c r="G1" s="56"/>
      <x:c r="H1" s="56"/>
    </x:row>
    <x:row r="2" ht="15" hidden="0" customHeight="1">
      <x:c r="A2" s="1196" t="str">
        <x:v>Единый канон для документа, пятилетней модели и примеров</x:v>
      </x:c>
      <x:c r="B2" s="1196"/>
      <x:c r="C2" s="1196"/>
      <x:c r="D2" s="59"/>
      <x:c r="E2" s="59"/>
      <x:c r="F2" s="59"/>
      <x:c r="G2" s="59"/>
      <x:c r="H2" s="59"/>
    </x:row>
    <x:row r="3"/>
    <x:row r="4" ht="15" hidden="0" customHeight="1">
      <x:c r="A4" s="1158" t="str">
        <x:v>Правило</x:v>
      </x:c>
      <x:c r="B4" s="1158" t="str">
        <x:v>Как считается</x:v>
      </x:c>
      <x:c r="C4" s="1158" t="str">
        <x:v>Что важно</x:v>
      </x:c>
    </x:row>
    <x:row r="5" ht="25.5" hidden="0" customHeight="1">
      <x:c r="A5" s="76" t="str">
        <x:v>Начало года</x:v>
      </x:c>
      <x:c r="B5" s="76" t="str">
        <x:v>Совет утверждает участника, размер пакета, показатели и начальную цену</x:v>
      </x:c>
      <x:c r="C5" s="76" t="str">
        <x:v>Цена цикла фиксируется до работы на результат</x:v>
      </x:c>
    </x:row>
    <x:row r="6" ht="25.5" hidden="0" customHeight="1">
      <x:c r="A6" s="76" t="str">
        <x:v>Формула результата</x:v>
      </x:c>
      <x:c r="B6" s="76" t="str">
        <x:v>МИН(100%; 60% результата компании + 40% личного результата)</x:v>
      </x:c>
      <x:c r="C6" s="76" t="str">
        <x:v>В примере: 60% × 90% + 40% × 102,5% = 95%</x:v>
      </x:c>
    </x:row>
    <x:row r="7" ht="25.5" hidden="0" customHeight="1">
      <x:c r="A7" s="76" t="str">
        <x:v>Расчётные единицы</x:v>
      </x:c>
      <x:c r="B7" s="76" t="str">
        <x:v>Заработанная сумма ÷ начальная цена единицы</x:v>
      </x:c>
      <x:c r="C7" s="76" t="str">
        <x:v>Внутригодовой раунд не пересчитывает пакет</x:v>
      </x:c>
    </x:row>
    <x:row r="8" ht="25.5" hidden="0" customHeight="1">
      <x:c r="A8" s="76" t="str">
        <x:v>Закрепление права</x:v>
      </x:c>
      <x:c r="B8" s="76" t="str">
        <x:v>1/12 через 3, 6, …, 36 месяцев после подтверждения</x:v>
      </x:c>
      <x:c r="C8" s="76" t="str">
        <x:v>До подтверждения закрепившаяся часть равна нулю</x:v>
      </x:c>
    </x:row>
    <x:row r="9" ht="25.5" hidden="0" customHeight="1">
      <x:c r="A9" s="76" t="str">
        <x:v>Единый предел 10%</x:v>
      </x:c>
      <x:c r="B9" s="76" t="str">
        <x:v>10 млн расчётных единиц из 100 млн до первого раунда</x:v>
      </x:c>
      <x:c r="C9" s="76" t="str">
        <x:v>После раундов процент уменьшается; автоматического пополнения нет</x:v>
      </x:c>
    </x:row>
    <x:row r="10" ht="25.5" hidden="0" customHeight="1">
      <x:c r="A10" s="76" t="str">
        <x:v>Каждый год заново</x:v>
      </x:c>
      <x:c r="B10" s="76" t="str">
        <x:v>Новое решение по единым критериям: влияние на стоимость, критическая ответственность, измеримость и ценность удержания</x:v>
      </x:c>
      <x:c r="C10" s="76" t="str">
        <x:v>Нет вечного права на новый пакет</x:v>
      </x:c>
    </x:row>
    <x:row r="11" ht="25.5" hidden="0" customHeight="1">
      <x:c r="A11" s="76" t="str">
        <x:v>Размытие</x:v>
      </x:c>
      <x:c r="B11" s="76" t="str">
        <x:v>Новые расчётные единицы инвесторов уменьшают процент всех прежних владельцев</x:v>
      </x:c>
      <x:c r="C11" s="76" t="str">
        <x:v>Количество выданных расчётных единиц не пересчитывается</x:v>
      </x:c>
    </x:row>
    <x:row r="12" ht="25.5" hidden="0" customHeight="1">
      <x:c r="A12" s="76" t="str">
        <x:v>Продажа</x:v>
      </x:c>
      <x:c r="B12" s="76" t="str">
        <x:v>Стоимость капитала = стоимость бизнеса + деньги − долг − расходы и преимущества</x:v>
      </x:c>
      <x:c r="C12" s="76" t="str">
        <x:v>8 × прибыль до процентов, налогов и амортизации — стоимость бизнеса, а не автоматическая выплата</x:v>
      </x:c>
    </x:row>
    <x:row r="13" ht="36" hidden="0" customHeight="1">
      <x:c r="A13" s="76" t="str">
        <x:v>Юридический статус</x:v>
      </x:c>
      <x:c r="B13" s="76" t="str">
        <x:v>Утверждённый план + индивидуальное уведомление</x:v>
      </x:c>
      <x:c r="C13" s="76" t="str">
        <x:v>Файл показывает валовые суммы и не заменяет документы программы</x:v>
      </x:c>
    </x:row>
    <x:row r="14" ht="24" customHeight="1">
      <x:c r="A14" s="1151" t="str">
        <x:v>Плановая структура общего резерва — 5% / 4% / 1%</x:v>
      </x:c>
      <x:c r="B14" s="1151"/>
      <x:c r="C14" s="1151"/>
    </x:row>
    <x:row r="15" ht="39" customHeight="1">
      <x:c r="A15" s="1207" t="str">
        <x:v>Назначение</x:v>
      </x:c>
      <x:c r="B15" s="1207" t="str">
        <x:v>5% текущая команда · 4% будущие сильные наймы · 1% резерв Совета</x:v>
      </x:c>
      <x:c r="C15" s="1207" t="str">
        <x:v>Это один предел 10%; перераспределение возможно только внутри него</x:v>
      </x:c>
    </x:row>
    <x:row r="16" ht="15" hidden="0" customHeight="1">
      <x:c r="A16" s="1158" t="str">
        <x:v>Сверка</x:v>
      </x:c>
      <x:c r="B16" s="1158" t="str">
        <x:v>Предыдущая версия</x:v>
      </x:c>
      <x:c r="C16" s="1158" t="str">
        <x:v>Текущая версия</x:v>
      </x:c>
    </x:row>
    <x:row r="17" ht="25.5" hidden="0" customHeight="1">
      <x:c r="A17" s="76" t="str">
        <x:v>База резерва</x:v>
      </x:c>
      <x:c r="B17" s="76" t="str">
        <x:v>Смешение 10% до и после раунда</x:v>
      </x:c>
      <x:c r="C17" s="76" t="str">
        <x:v>10 млн расчётных единиц из 100 млн до первого раунда</x:v>
      </x:c>
    </x:row>
    <x:row r="18" ht="25.5" hidden="0" customHeight="1">
      <x:c r="A18" s="76" t="str">
        <x:v>Целевой и заработанный пакет</x:v>
      </x:c>
      <x:c r="B18" s="76" t="str">
        <x:v>Лестница ролей</x:v>
      </x:c>
      <x:c r="C18" s="76" t="str">
        <x:v>5 млн ₽ × 1,0 × 95% = 4,75 млн ₽</x:v>
      </x:c>
    </x:row>
    <x:row r="19" ht="25.5" hidden="0" customHeight="1">
      <x:c r="A19" s="76" t="str">
        <x:v>Ежегодные группы</x:v>
      </x:c>
      <x:c r="B19" s="76" t="str">
        <x:v>Разовый набор 10/5/3/2</x:v>
      </x:c>
      <x:c r="C19" s="76" t="str">
        <x:v>8 → 12 → 12 → 12 → 15 участников; всего 59 решений</x:v>
      </x:c>
    </x:row>
    <x:row r="20" ht="25.5" hidden="0" customHeight="1">
      <x:c r="A20" s="76" t="str">
        <x:v>Цена</x:v>
      </x:c>
      <x:c r="B20" s="76" t="str">
        <x:v>Плавная условная траектория</x:v>
      </x:c>
      <x:c r="C20" s="76" t="str">
        <x:v>Цена каждого года рассчитывается из заданного раунда</x:v>
      </x:c>
    </x:row>
    <x:row r="21" ht="25.5" hidden="0" customHeight="1">
      <x:c r="A21" s="76" t="str">
        <x:v>Размытие</x:v>
      </x:c>
      <x:c r="B21" s="76" t="str">
        <x:v>Ручное допущение 20%</x:v>
      </x:c>
      <x:c r="C21" s="76" t="str">
        <x:v>Рассчитывается из пяти фактических выпусков инвесторам</x:v>
      </x:c>
    </x:row>
    <x:row r="22" ht="25.5" hidden="0" customHeight="1">
      <x:c r="A22" s="76" t="str">
        <x:v>Ликвидность</x:v>
      </x:c>
      <x:c r="B22" s="76" t="str">
        <x:v>Условный пятый год</x:v>
      </x:c>
      <x:c r="C22" s="76" t="str">
        <x:v>Продажа сразу после года 5 при 16 млрд ₽</x:v>
      </x:c>
    </x:row>
    <x:row r="23"/>
    <x:row r="24"/>
    <x:row r="25" ht="39" hidden="0" customHeight="1">
      <x:c r="A25" s="1208" t="str">
        <x:v>Последние пакеты к продаже закрепились не полностью: год 3 — 2/3, год 4 — 1/3, год 5 — 0. Модель не предполагает автоматического ускорения закрепления права.</x:v>
      </x:c>
      <x:c r="B25" s="1208"/>
      <x:c r="C25" s="1208"/>
      <x:c r="D25" s="75"/>
      <x:c r="E25" s="75"/>
      <x:c r="F25" s="75"/>
    </x:row>
  </x:sheetData>
  <x:mergeCells>
    <x:mergeCell ref="A1:C1"/>
    <x:mergeCell ref="A2:C2"/>
    <x:mergeCell ref="A14:C14"/>
    <x:mergeCell ref="A25:C25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18.1299991607666" hidden="0" customWidth="1"/>
    <x:col min="3" max="3" width="18.1299991607666" hidden="0" customWidth="1"/>
    <x:col min="4" max="4" width="18.1299991607666" hidden="0" customWidth="1"/>
    <x:col min="5" max="5" width="18.1299991607666" hidden="0" customWidth="1"/>
    <x:col min="6" max="6" width="18.1299991607666" hidden="0" customWidth="1"/>
    <x:col min="7" max="7" width="18.1299991607666" hidden="0" customWidth="1"/>
    <x:col min="8" max="8" width="18.1299991607666" hidden="0" customWidth="1"/>
    <x:col min="9" max="9" width="28.75" hidden="0" customWidth="1"/>
    <x:col min="10" max="10" width="18.1299991607666" hidden="0" customWidth="1"/>
  </x:cols>
  <x:sheetData>
    <x:row r="1" ht="25.5" hidden="0" customHeight="1">
      <x:c r="A1" s="1142" t="str">
        <x:v>Ежегодные циклы LTI: пять решений Совета и контроль резерва</x:v>
      </x:c>
      <x:c r="B1" s="109"/>
      <x:c r="C1" s="109"/>
      <x:c r="D1" s="109"/>
      <x:c r="E1" s="109"/>
      <x:c r="F1" s="109"/>
      <x:c r="G1" s="109"/>
      <x:c r="H1" s="109"/>
      <x:c r="I1" s="109"/>
      <x:c r="J1" s="109"/>
    </x:row>
    <x:row r="2" ht="27" hidden="0" customHeight="1">
      <x:c r="A2" s="1196" t="str">
        <x:v>Каждый год — отдельное решение. Цена фиксируется на старте цикла, результат подтверждается после года, затем начинается 36-месячное закрепление права.</x:v>
      </x:c>
      <x:c r="B2" s="1196"/>
      <x:c r="C2" s="1196"/>
      <x:c r="D2" s="1196"/>
      <x:c r="E2" s="1196"/>
      <x:c r="F2" s="1196"/>
      <x:c r="G2" s="1196"/>
      <x:c r="H2" s="1196"/>
      <x:c r="I2" s="1196"/>
      <x:c r="J2" s="1196"/>
    </x:row>
    <x:row r="3"/>
    <x:row r="4" ht="33" hidden="0" customHeight="1">
      <x:c r="A4" s="1209" t="str">
        <x:v>Резерв LTI, млн расчётных ед.</x:v>
      </x:c>
      <x:c r="B4" s="1210" t="n">
        <x:f>'Калькулятор'!B11</x:f>
        <x:v>10</x:v>
      </x:c>
      <x:c r="C4" s="1211" t="str">
        <x:v>Занято к концу 5-го года</x:v>
      </x:c>
      <x:c r="D4" s="1210" t="n">
        <x:f>'Калькулятор'!G27</x:f>
        <x:v>9.504543051104589</x:v>
      </x:c>
      <x:c r="E4" s="1211" t="str">
        <x:v>Свободный резерв</x:v>
      </x:c>
      <x:c r="F4" s="1210" t="n">
        <x:f>'Калькулятор'!I27</x:f>
        <x:v>0.49545694889541103</x:v>
      </x:c>
      <x:c r="G4" s="1209" t="str">
        <x:v>Пиковое использование</x:v>
      </x:c>
      <x:c r="H4" s="1212" t="n">
        <x:f>'Калькулятор'!H27</x:f>
        <x:v>0.9504543051104589</x:v>
      </x:c>
      <x:c r="I4" s="1209" t="str">
        <x:v>Статус</x:v>
      </x:c>
      <x:c r="J4" s="1213" t="str">
        <x:f>'Калькулятор'!E42</x:f>
        <x:v>ПРОЙДЕНО</x:v>
      </x:c>
    </x:row>
    <x:row r="5" ht="43.5" hidden="0" customHeight="1">
      <x:c r="A5" s="1208" t="str">
        <x:v>Базовый сценарий занимает 9,505 из 10,000 млн расчётных единиц. 9,000 млн относятся к команде и найму; ещё 0,505 млн требуют отдельного решения Совета о переносе из его резерва. Остаётся 0,495 млн, или около 38,6 млн ₽ при продаже.</x:v>
      </x:c>
      <x:c r="B5" s="1208"/>
      <x:c r="C5" s="1208"/>
      <x:c r="D5" s="1208"/>
      <x:c r="E5" s="1208"/>
      <x:c r="F5" s="1208"/>
      <x:c r="G5" s="1208"/>
      <x:c r="H5" s="1208"/>
      <x:c r="I5" s="1208"/>
      <x:c r="J5" s="1208"/>
    </x:row>
    <x:row r="6"/>
    <x:row r="7" ht="15" hidden="0" customHeight="1">
      <x:c r="A7" s="1214" t="str">
        <x:v>1. Ежегодное решение: 8 → 12 → 12 → 12 → 15 участников и максимальный пакет 1,0 оклада</x:v>
      </x:c>
      <x:c r="B7" s="1325"/>
      <x:c r="C7" s="1325"/>
      <x:c r="D7" s="1325"/>
      <x:c r="E7" s="1325"/>
      <x:c r="F7" s="1325"/>
      <x:c r="G7" s="1325"/>
      <x:c r="H7" s="1325"/>
      <x:c r="I7" s="1325"/>
      <x:c r="J7" s="1326"/>
    </x:row>
    <x:row r="8" ht="26.399999618530273" hidden="0" customHeight="1">
      <x:c r="A8" s="1158" t="str">
        <x:v>Год</x:v>
      </x:c>
      <x:c r="B8" s="1158" t="str">
        <x:v>Участников</x:v>
      </x:c>
      <x:c r="C8" s="1158" t="str">
        <x:v>Оклад, млн ₽</x:v>
      </x:c>
      <x:c r="D8" s="1158" t="str">
        <x:v>Множитель, ×</x:v>
      </x:c>
      <x:c r="E8" s="1158" t="str">
        <x:v>Пакет на человека, млн ₽</x:v>
      </x:c>
      <x:c r="F8" s="1158" t="str">
        <x:v>Пакеты на год, млн ₽</x:v>
      </x:c>
      <x:c r="G8" s="1158" t="str">
        <x:v>Начальная цена, ₽</x:v>
      </x:c>
      <x:c r="H8" s="1158" t="str">
        <x:v>Новые расчётные единицы, млн</x:v>
      </x:c>
      <x:c r="I8" s="1158" t="str">
        <x:v>Занято накопительно, млн</x:v>
      </x:c>
      <x:c r="J8" s="1158" t="str">
        <x:v>Использовано резерва</x:v>
      </x:c>
    </x:row>
    <x:row r="9" ht="15" hidden="0" customHeight="1">
      <x:c r="A9" t="n">
        <x:v>1</x:v>
      </x:c>
      <x:c r="B9" s="417" t="n">
        <x:f>'Калькулятор'!B22</x:f>
        <x:v>8</x:v>
      </x:c>
      <x:c r="C9" s="399" t="n">
        <x:f>'Калькулятор'!B13</x:f>
        <x:v>5</x:v>
      </x:c>
      <x:c r="D9" s="419" t="n">
        <x:f>'Калькулятор'!B14</x:f>
        <x:v>1</x:v>
      </x:c>
      <x:c r="E9" s="421" t="n">
        <x:f>C9*D9</x:f>
        <x:v>5</x:v>
      </x:c>
      <x:c r="F9" s="422" t="n">
        <x:f>B9*E9</x:f>
        <x:v>40</x:v>
      </x:c>
      <x:c r="G9" s="423" t="n">
        <x:f>'Калькулятор'!E22</x:f>
        <x:v>12</x:v>
      </x:c>
      <x:c r="H9" s="421" t="n">
        <x:f>F9/G9</x:f>
        <x:v>3.3333333333333335</x:v>
      </x:c>
      <x:c r="I9" s="421" t="n">
        <x:f>SUM($H$9:H9)</x:f>
        <x:v>3.3333333333333335</x:v>
      </x:c>
      <x:c r="J9" s="280" t="n">
        <x:f>I9/'Калькулятор'!$B$11</x:f>
        <x:v>0.33333333333333337</x:v>
      </x:c>
    </x:row>
    <x:row r="10" ht="15" hidden="0" customHeight="1">
      <x:c r="A10" t="n">
        <x:v>2</x:v>
      </x:c>
      <x:c r="B10" s="417" t="n">
        <x:f>'Калькулятор'!B23</x:f>
        <x:v>12</x:v>
      </x:c>
      <x:c r="C10" s="399" t="n">
        <x:f>'Калькулятор'!B13</x:f>
        <x:v>5</x:v>
      </x:c>
      <x:c r="D10" s="419" t="n">
        <x:f>'Калькулятор'!B14</x:f>
        <x:v>1</x:v>
      </x:c>
      <x:c r="E10" s="421" t="n">
        <x:f>C10*D10</x:f>
        <x:v>5</x:v>
      </x:c>
      <x:c r="F10" s="422" t="n">
        <x:f>B10*E10</x:f>
        <x:v>60</x:v>
      </x:c>
      <x:c r="G10" s="423" t="n">
        <x:f>'Калькулятор'!E23</x:f>
        <x:v>24</x:v>
      </x:c>
      <x:c r="H10" s="421" t="n">
        <x:f>F10/G10</x:f>
        <x:v>2.5</x:v>
      </x:c>
      <x:c r="I10" s="421" t="n">
        <x:f>SUM($H$9:H10)</x:f>
        <x:v>5.833333333333334</x:v>
      </x:c>
      <x:c r="J10" s="280" t="n">
        <x:f>I10/'Калькулятор'!$B$11</x:f>
        <x:v>0.5833333333333334</x:v>
      </x:c>
    </x:row>
    <x:row r="11" ht="15" hidden="0" customHeight="1">
      <x:c r="A11" t="n">
        <x:v>3</x:v>
      </x:c>
      <x:c r="B11" s="417" t="n">
        <x:f>'Калькулятор'!B24</x:f>
        <x:v>12</x:v>
      </x:c>
      <x:c r="C11" s="399" t="n">
        <x:f>'Калькулятор'!B13</x:f>
        <x:v>5</x:v>
      </x:c>
      <x:c r="D11" s="419" t="n">
        <x:f>'Калькулятор'!B14</x:f>
        <x:v>1</x:v>
      </x:c>
      <x:c r="E11" s="421" t="n">
        <x:f>C11*D11</x:f>
        <x:v>5</x:v>
      </x:c>
      <x:c r="F11" s="422" t="n">
        <x:f>B11*E11</x:f>
        <x:v>60</x:v>
      </x:c>
      <x:c r="G11" s="423" t="n">
        <x:f>'Калькулятор'!E24</x:f>
        <x:v>38.4</x:v>
      </x:c>
      <x:c r="H11" s="421" t="n">
        <x:f>F11/G11</x:f>
        <x:v>1.5625</x:v>
      </x:c>
      <x:c r="I11" s="421" t="n">
        <x:f>SUM($H$9:H11)</x:f>
        <x:v>7.395833333333334</x:v>
      </x:c>
      <x:c r="J11" s="280" t="n">
        <x:f>I11/'Калькулятор'!$B$11</x:f>
        <x:v>0.7395833333333334</x:v>
      </x:c>
    </x:row>
    <x:row r="12" ht="15" hidden="0" customHeight="1">
      <x:c r="A12" t="n">
        <x:v>4</x:v>
      </x:c>
      <x:c r="B12" s="417" t="n">
        <x:f>'Калькулятор'!B25</x:f>
        <x:v>12</x:v>
      </x:c>
      <x:c r="C12" s="399" t="n">
        <x:f>'Калькулятор'!B13</x:f>
        <x:v>5</x:v>
      </x:c>
      <x:c r="D12" s="419" t="n">
        <x:f>'Калькулятор'!B14</x:f>
        <x:v>1</x:v>
      </x:c>
      <x:c r="E12" s="421" t="n">
        <x:f>C12*D12</x:f>
        <x:v>5</x:v>
      </x:c>
      <x:c r="F12" s="422" t="n">
        <x:f>B12*E12</x:f>
        <x:v>60</x:v>
      </x:c>
      <x:c r="G12" s="423" t="n">
        <x:f>'Калькулятор'!E25</x:f>
        <x:v>55.64377358490566</x:v>
      </x:c>
      <x:c r="H12" s="421" t="n">
        <x:f>F12/G12</x:f>
        <x:v>1.0782877604166667</x:v>
      </x:c>
      <x:c r="I12" s="421" t="n">
        <x:f>SUM($H$9:H12)</x:f>
        <x:v>8.47412109375</x:v>
      </x:c>
      <x:c r="J12" s="280" t="n">
        <x:f>I12/'Калькулятор'!$B$11</x:f>
        <x:v>0.847412109375</x:v>
      </x:c>
    </x:row>
    <x:row r="13" ht="15" hidden="0" customHeight="1">
      <x:c r="A13" t="n">
        <x:v>5</x:v>
      </x:c>
      <x:c r="B13" s="417" t="n">
        <x:f>'Калькулятор'!B26</x:f>
        <x:v>15</x:v>
      </x:c>
      <x:c r="C13" s="399" t="n">
        <x:f>'Калькулятор'!B13</x:f>
        <x:v>5</x:v>
      </x:c>
      <x:c r="D13" s="419" t="n">
        <x:f>'Калькулятор'!B14</x:f>
        <x:v>1</x:v>
      </x:c>
      <x:c r="E13" s="421" t="n">
        <x:f>C13*D13</x:f>
        <x:v>5</x:v>
      </x:c>
      <x:c r="F13" s="422" t="n">
        <x:f>B13*E13</x:f>
        <x:v>75</x:v>
      </x:c>
      <x:c r="G13" s="423" t="n">
        <x:f>'Калькулятор'!E26</x:f>
        <x:v>72.78571605029477</x:v>
      </x:c>
      <x:c r="H13" s="421" t="n">
        <x:f>F13/G13</x:f>
        <x:v>1.0304219573545883</x:v>
      </x:c>
      <x:c r="I13" s="421" t="n">
        <x:f>SUM($H$9:H13)</x:f>
        <x:v>9.504543051104589</x:v>
      </x:c>
      <x:c r="J13" s="280" t="n">
        <x:f>I13/'Калькулятор'!$B$11</x:f>
        <x:v>0.9504543051104589</x:v>
      </x:c>
    </x:row>
    <x:row r="14" ht="15" hidden="0" customHeight="1">
      <x:c r="A14" s="1215" t="str">
        <x:v>ИТОГО / СРЕДНЕЕ</x:v>
      </x:c>
      <x:c r="B14" s="1216" t="n">
        <x:f>SUM(B9:B13)</x:f>
        <x:v>59</x:v>
      </x:c>
      <x:c r="C14" s="1217" t="n">
        <x:f>AVERAGE(C9:C13)</x:f>
        <x:v>5</x:v>
      </x:c>
      <x:c r="D14" s="1218" t="n">
        <x:f>AVERAGE(D9:D13)</x:f>
        <x:v>1</x:v>
      </x:c>
      <x:c r="E14" s="1220" t="n">
        <x:f>AVERAGE(E9:E13)</x:f>
        <x:v>5</x:v>
      </x:c>
      <x:c r="F14" s="1220" t="n">
        <x:f>SUM(F9:F13)</x:f>
        <x:v>295</x:v>
      </x:c>
      <x:c r="G14" s="1220"/>
      <x:c r="H14" s="1220" t="n">
        <x:f>SUM(H9:H13)</x:f>
        <x:v>9.504543051104589</x:v>
      </x:c>
      <x:c r="I14" s="1220" t="n">
        <x:f>MAX(I9:I13)</x:f>
        <x:v>9.504543051104589</x:v>
      </x:c>
      <x:c r="J14" s="1178" t="n">
        <x:f>MAX(J9:J13)</x:f>
        <x:v>0.9504543051104589</x:v>
      </x:c>
    </x:row>
    <x:row r="15"/>
    <x:row r="16" ht="15" hidden="0" customHeight="1">
      <x:c r="A16" s="1214" t="str">
        <x:v>2. Что закрепилось к продаже после пятого года</x:v>
      </x:c>
      <x:c r="B16" s="1325"/>
      <x:c r="C16" s="1325"/>
      <x:c r="D16" s="1325"/>
      <x:c r="E16" s="1325"/>
      <x:c r="F16" s="1325"/>
      <x:c r="G16" s="1325"/>
      <x:c r="H16" s="1325"/>
      <x:c r="I16" s="1325"/>
      <x:c r="J16" s="1325"/>
    </x:row>
    <x:row r="17" ht="31.5" hidden="0" customHeight="1">
      <x:c r="A17" s="1158" t="str">
        <x:v>Год</x:v>
      </x:c>
      <x:c r="B17" s="1158" t="str">
        <x:v>Выдано расчётных единиц, млн</x:v>
      </x:c>
      <x:c r="C17" s="1158" t="str">
        <x:v>Закрепилось</x:v>
      </x:c>
      <x:c r="D17" s="1158" t="str">
        <x:v>Закрепившиеся расчётные единицы, млн</x:v>
      </x:c>
      <x:c r="E17" s="1158" t="str">
        <x:v>Незакрепившиеся расчётные единицы, млн</x:v>
      </x:c>
      <x:c r="F17" s="1158" t="str">
        <x:v>Цена при продаже, ₽</x:v>
      </x:c>
      <x:c r="G17" s="1158" t="str">
        <x:v>Закрепившаяся стоимость, млн ₽</x:v>
      </x:c>
      <x:c r="H17" s="1158" t="str">
        <x:v>Незакрепившаяся стоимость, млн ₽</x:v>
      </x:c>
      <x:c r="I17" s="1158" t="str">
        <x:v>Пояснение</x:v>
      </x:c>
      <x:c r="J17" s="1158" t="str">
        <x:v>Статус</x:v>
      </x:c>
    </x:row>
    <x:row r="18" ht="15" hidden="0" customHeight="1">
      <x:c r="A18" t="n">
        <x:v>1</x:v>
      </x:c>
      <x:c r="B18" s="433" t="n">
        <x:f>'Калькулятор'!F22</x:f>
        <x:v>3.3333333333333335</x:v>
      </x:c>
      <x:c r="C18" s="434" t="n">
        <x:f>'Калькулятор'!J22</x:f>
        <x:v>1</x:v>
      </x:c>
      <x:c r="D18" s="421" t="n">
        <x:f>B18*C18</x:f>
        <x:v>3.3333333333333335</x:v>
      </x:c>
      <x:c r="E18" s="421" t="n">
        <x:f>B18-D18</x:f>
        <x:v>0</x:v>
      </x:c>
      <x:c r="F18" s="423" t="n">
        <x:f>'Калькулятор'!$B$19/'Калькулятор'!$K$14</x:f>
        <x:v>77.8290376927874</x:v>
      </x:c>
      <x:c r="G18" s="421" t="n">
        <x:f>D18*F18</x:f>
        <x:v>259.43012564262466</x:v>
      </x:c>
      <x:c r="H18" s="421" t="n">
        <x:f>E18*F18</x:f>
        <x:v>0</x:v>
      </x:c>
      <x:c r="I18" s="506" t="str">
        <x:v>Прошло больше 36 месяцев</x:v>
      </x:c>
      <x:c r="J18" s="507" t="str">
        <x:f>IF(C18=1,"ЗАКРЕПЛЕНО",IF(C18=0,"НЕ ЗАКРЕПЛЕНО","ЧАСТИЧНО"))</x:f>
        <x:v>ЗАКРЕПЛЕНО</x:v>
      </x:c>
    </x:row>
    <x:row r="19" ht="15" hidden="0" customHeight="1">
      <x:c r="A19" t="n">
        <x:v>2</x:v>
      </x:c>
      <x:c r="B19" s="433" t="n">
        <x:f>'Калькулятор'!F23</x:f>
        <x:v>2.5</x:v>
      </x:c>
      <x:c r="C19" s="434" t="n">
        <x:f>'Калькулятор'!J23</x:f>
        <x:v>1</x:v>
      </x:c>
      <x:c r="D19" s="421" t="n">
        <x:f>B19*C19</x:f>
        <x:v>2.5</x:v>
      </x:c>
      <x:c r="E19" s="421" t="n">
        <x:f>B19-D19</x:f>
        <x:v>0</x:v>
      </x:c>
      <x:c r="F19" s="423" t="n">
        <x:f>'Калькулятор'!$B$19/'Калькулятор'!$K$14</x:f>
        <x:v>77.8290376927874</x:v>
      </x:c>
      <x:c r="G19" s="421" t="n">
        <x:f>D19*F19</x:f>
        <x:v>194.57259423196848</x:v>
      </x:c>
      <x:c r="H19" s="421" t="n">
        <x:f>E19*F19</x:f>
        <x:v>0</x:v>
      </x:c>
      <x:c r="I19" s="506" t="str">
        <x:v>Прошло 36 месяцев</x:v>
      </x:c>
      <x:c r="J19" s="507" t="str">
        <x:f>IF(C19=1,"ЗАКРЕПЛЕНО",IF(C19=0,"НЕ ЗАКРЕПЛЕНО","ЧАСТИЧНО"))</x:f>
        <x:v>ЗАКРЕПЛЕНО</x:v>
      </x:c>
    </x:row>
    <x:row r="20" ht="15" hidden="0" customHeight="1">
      <x:c r="A20" t="n">
        <x:v>3</x:v>
      </x:c>
      <x:c r="B20" s="433" t="n">
        <x:f>'Калькулятор'!F24</x:f>
        <x:v>1.5625</x:v>
      </x:c>
      <x:c r="C20" s="434" t="n">
        <x:f>'Калькулятор'!J24</x:f>
        <x:v>0.6666666666666666</x:v>
      </x:c>
      <x:c r="D20" s="421" t="n">
        <x:f>B20*C20</x:f>
        <x:v>1.0416666666666665</x:v>
      </x:c>
      <x:c r="E20" s="421" t="n">
        <x:f>B20-D20</x:f>
        <x:v>0.5208333333333335</x:v>
      </x:c>
      <x:c r="F20" s="423" t="n">
        <x:f>'Калькулятор'!$B$19/'Калькулятор'!$K$14</x:f>
        <x:v>77.8290376927874</x:v>
      </x:c>
      <x:c r="G20" s="421" t="n">
        <x:f>D20*F20</x:f>
        <x:v>81.0719142633202</x:v>
      </x:c>
      <x:c r="H20" s="421" t="n">
        <x:f>E20*F20</x:f>
        <x:v>40.53595713166011</x:v>
      </x:c>
      <x:c r="I20" s="506" t="str">
        <x:v>Прошло 24 месяца</x:v>
      </x:c>
      <x:c r="J20" s="507" t="str">
        <x:f>IF(C20=1,"ЗАКРЕПЛЕНО",IF(C20=0,"НЕ ЗАКРЕПЛЕНО","ЧАСТИЧНО"))</x:f>
        <x:v>ЧАСТИЧНО</x:v>
      </x:c>
    </x:row>
    <x:row r="21" ht="15" hidden="0" customHeight="1">
      <x:c r="A21" t="n">
        <x:v>4</x:v>
      </x:c>
      <x:c r="B21" s="433" t="n">
        <x:f>'Калькулятор'!F25</x:f>
        <x:v>1.0782877604166667</x:v>
      </x:c>
      <x:c r="C21" s="434" t="n">
        <x:f>'Калькулятор'!J25</x:f>
        <x:v>0.3333333333333333</x:v>
      </x:c>
      <x:c r="D21" s="421" t="n">
        <x:f>B21*C21</x:f>
        <x:v>0.3594292534722222</x:v>
      </x:c>
      <x:c r="E21" s="421" t="n">
        <x:f>B21-D21</x:f>
        <x:v>0.7188585069444445</x:v>
      </x:c>
      <x:c r="F21" s="423" t="n">
        <x:f>'Калькулятор'!$B$19/'Калькулятор'!$K$14</x:f>
        <x:v>77.8290376927874</x:v>
      </x:c>
      <x:c r="G21" s="421" t="n">
        <x:f>D21*F21</x:f>
        <x:v>27.97403291638002</x:v>
      </x:c>
      <x:c r="H21" s="421" t="n">
        <x:f>E21*F21</x:f>
        <x:v>55.948065832760044</x:v>
      </x:c>
      <x:c r="I21" s="506" t="str">
        <x:v>Прошло 12 месяцев</x:v>
      </x:c>
      <x:c r="J21" s="507" t="str">
        <x:f>IF(C21=1,"ЗАКРЕПЛЕНО",IF(C21=0,"НЕ ЗАКРЕПЛЕНО","ЧАСТИЧНО"))</x:f>
        <x:v>ЧАСТИЧНО</x:v>
      </x:c>
    </x:row>
    <x:row r="22" ht="15" hidden="0" customHeight="1">
      <x:c r="A22" t="n">
        <x:v>5</x:v>
      </x:c>
      <x:c r="B22" s="433" t="n">
        <x:f>'Калькулятор'!F26</x:f>
        <x:v>1.0304219573545883</x:v>
      </x:c>
      <x:c r="C22" s="434" t="n">
        <x:f>'Калькулятор'!J26</x:f>
        <x:v>0</x:v>
      </x:c>
      <x:c r="D22" s="421" t="n">
        <x:f>B22*C22</x:f>
        <x:v>0</x:v>
      </x:c>
      <x:c r="E22" s="421" t="n">
        <x:f>B22-D22</x:f>
        <x:v>1.0304219573545883</x:v>
      </x:c>
      <x:c r="F22" s="423" t="n">
        <x:f>'Калькулятор'!$B$19/'Калькулятор'!$K$14</x:f>
        <x:v>77.8290376927874</x:v>
      </x:c>
      <x:c r="G22" s="421" t="n">
        <x:f>D22*F22</x:f>
        <x:v>0</x:v>
      </x:c>
      <x:c r="H22" s="421" t="n">
        <x:f>E22*F22</x:f>
        <x:v>80.19674935842602</x:v>
      </x:c>
      <x:c r="I22" s="506" t="str">
        <x:v>Только подтверждение результата</x:v>
      </x:c>
      <x:c r="J22" s="507" t="str">
        <x:f>IF(C22=1,"ЗАКРЕПЛЕНО",IF(C22=0,"НЕ ЗАКРЕПЛЕНО","ЧАСТИЧНО"))</x:f>
        <x:v>НЕ ЗАКРЕПЛЕНО</x:v>
      </x:c>
    </x:row>
    <x:row r="23" ht="28.5" hidden="0" customHeight="1">
      <x:c r="A23" s="1215" t="str">
        <x:v>ИТОГО</x:v>
      </x:c>
      <x:c r="B23" s="1220" t="n">
        <x:f>SUM(B18:B22)</x:f>
        <x:v>9.504543051104589</x:v>
      </x:c>
      <x:c r="C23" s="1221"/>
      <x:c r="D23" s="1220" t="n">
        <x:f>SUM(D18:D22)</x:f>
        <x:v>7.234429253472222</x:v>
      </x:c>
      <x:c r="E23" s="1220" t="n">
        <x:f>SUM(E18:E22)</x:f>
        <x:v>2.2701137976323666</x:v>
      </x:c>
      <x:c r="F23" s="1220"/>
      <x:c r="G23" s="1220" t="n">
        <x:f>SUM(G18:G22)</x:f>
        <x:v>563.0486670542933</x:v>
      </x:c>
      <x:c r="H23" s="1220" t="n">
        <x:f>SUM(H18:H22)</x:f>
        <x:v>176.68077232284617</x:v>
      </x:c>
      <x:c r="I23" s="1222" t="str">
        <x:v>Последние пакеты закреплены не полностью</x:v>
      </x:c>
      <x:c r="J23" s="1223" t="str">
        <x:v>ПРОВЕРЕНО</x:v>
      </x:c>
    </x:row>
    <x:row r="24"/>
    <x:row r="25" ht="15" hidden="0" customHeight="1">
      <x:c r="A25" s="1214" t="str">
        <x:v>3. Источник цены: пять заданных раундов</x:v>
      </x:c>
      <x:c r="B25" s="1325"/>
      <x:c r="C25" s="1325"/>
      <x:c r="D25" s="1325"/>
      <x:c r="E25" s="1325"/>
      <x:c r="F25" s="1326"/>
      <x:c r="G25" s="1326"/>
      <x:c r="H25" s="1326"/>
      <x:c r="I25" s="1326"/>
      <x:c r="J25" s="1326"/>
    </x:row>
    <x:row r="26" ht="26.399999618530273" hidden="0" customHeight="1">
      <x:c r="A26" s="1158" t="str">
        <x:v>Год</x:v>
      </x:c>
      <x:c r="B26" s="1158" t="str">
        <x:v>Оценка до раунда, млн ₽</x:v>
      </x:c>
      <x:c r="C26" s="1158" t="str">
        <x:v>Привлечено, млн ₽</x:v>
      </x:c>
      <x:c r="D26" s="1158" t="str">
        <x:v>Оценка после раунда, млн ₽</x:v>
      </x:c>
      <x:c r="E26" s="1158" t="str">
        <x:v>Расчётных единиц после раунда, млн</x:v>
      </x:c>
      <x:c r="F26" s="1158" t="str">
        <x:v>Накопленное размытие</x:v>
      </x:c>
      <x:c r="G26" s="1158" t="str">
        <x:v>Начальная цена, ₽</x:v>
      </x:c>
      <x:c r="H26" s="1158" t="str">
        <x:v>Источник</x:v>
      </x:c>
    </x:row>
    <x:row r="27" ht="15" hidden="0" customHeight="1">
      <x:c r="A27" t="n">
        <x:v>1</x:v>
      </x:c>
      <x:c r="B27" s="436" t="n">
        <x:f>'Калькулятор'!E10</x:f>
        <x:v>1200</x:v>
      </x:c>
      <x:c r="C27" s="436" t="n">
        <x:f>'Калькулятор'!F10</x:f>
        <x:v>400</x:v>
      </x:c>
      <x:c r="D27" s="436" t="n">
        <x:f>'Калькулятор'!G10</x:f>
        <x:v>1600</x:v>
      </x:c>
      <x:c r="E27" s="377" t="n">
        <x:f>'Калькулятор'!K10</x:f>
        <x:v>133.33333333333334</x:v>
      </x:c>
      <x:c r="F27" s="354" t="n">
        <x:f>'Калькулятор'!L10</x:f>
        <x:v>0.25</x:v>
      </x:c>
      <x:c r="G27" s="437" t="n">
        <x:f>'Калькулятор'!I10</x:f>
        <x:v>12</x:v>
      </x:c>
      <x:c r="H27" t="str">
        <x:v>Параметры раунда 1</x:v>
      </x:c>
    </x:row>
    <x:row r="28" ht="15" hidden="0" customHeight="1">
      <x:c r="A28" t="n">
        <x:v>2</x:v>
      </x:c>
      <x:c r="B28" s="436" t="n">
        <x:f>'Калькулятор'!E11</x:f>
        <x:v>3200</x:v>
      </x:c>
      <x:c r="C28" s="436" t="n">
        <x:f>'Калькулятор'!F11</x:f>
        <x:v>400</x:v>
      </x:c>
      <x:c r="D28" s="436" t="n">
        <x:f>'Калькулятор'!G11</x:f>
        <x:v>3600</x:v>
      </x:c>
      <x:c r="E28" s="377" t="n">
        <x:f>'Калькулятор'!K11</x:f>
        <x:v>150</x:v>
      </x:c>
      <x:c r="F28" s="354" t="n">
        <x:f>'Калькулятор'!L11</x:f>
        <x:v>0.33333333333333337</x:v>
      </x:c>
      <x:c r="G28" s="437" t="n">
        <x:f>'Калькулятор'!I11</x:f>
        <x:v>24</x:v>
      </x:c>
      <x:c r="H28" t="str">
        <x:v>Параметры раунда 2</x:v>
      </x:c>
    </x:row>
    <x:row r="29" ht="15" hidden="0" customHeight="1">
      <x:c r="A29" t="n">
        <x:v>3</x:v>
      </x:c>
      <x:c r="B29" s="436" t="n">
        <x:f>'Калькулятор'!E12</x:f>
        <x:v>5760</x:v>
      </x:c>
      <x:c r="C29" s="436" t="n">
        <x:f>'Калькулятор'!F12</x:f>
        <x:v>600</x:v>
      </x:c>
      <x:c r="D29" s="436" t="n">
        <x:f>'Калькулятор'!G12</x:f>
        <x:v>6360</x:v>
      </x:c>
      <x:c r="E29" s="377" t="n">
        <x:f>'Калькулятор'!K12</x:f>
        <x:v>165.625</x:v>
      </x:c>
      <x:c r="F29" s="354" t="n">
        <x:f>'Калькулятор'!L12</x:f>
        <x:v>0.39622641509433965</x:v>
      </x:c>
      <x:c r="G29" s="437" t="n">
        <x:f>'Калькулятор'!I12</x:f>
        <x:v>38.4</x:v>
      </x:c>
      <x:c r="H29" t="str">
        <x:v>Параметры раунда 3</x:v>
      </x:c>
    </x:row>
    <x:row r="30" ht="15" hidden="0" customHeight="1">
      <x:c r="A30" t="n">
        <x:v>4</x:v>
      </x:c>
      <x:c r="B30" s="436" t="n">
        <x:f>'Калькулятор'!E13</x:f>
        <x:v>9216</x:v>
      </x:c>
      <x:c r="C30" s="436" t="n">
        <x:f>'Калькулятор'!F13</x:f>
        <x:v>1000</x:v>
      </x:c>
      <x:c r="D30" s="436" t="n">
        <x:f>'Калькулятор'!G13</x:f>
        <x:v>10216</x:v>
      </x:c>
      <x:c r="E30" s="377" t="n">
        <x:f>'Калькулятор'!K13</x:f>
        <x:v>183.59646267361111</x:v>
      </x:c>
      <x:c r="F30" s="354" t="n">
        <x:f>'Калькулятор'!L13</x:f>
        <x:v>0.45532719670217636</x:v>
      </x:c>
      <x:c r="G30" s="437" t="n">
        <x:f>'Калькулятор'!I13</x:f>
        <x:v>55.64377358490566</x:v>
      </x:c>
      <x:c r="H30" t="str">
        <x:v>Параметры раунда 4</x:v>
      </x:c>
    </x:row>
    <x:row r="31" ht="15" hidden="0" customHeight="1">
      <x:c r="A31" t="n">
        <x:v>5</x:v>
      </x:c>
      <x:c r="B31" s="436" t="n">
        <x:f>'Калькулятор'!E14</x:f>
        <x:v>13363.2</x:v>
      </x:c>
      <x:c r="C31" s="436" t="n">
        <x:f>'Калькулятор'!F14</x:f>
        <x:v>1600</x:v>
      </x:c>
      <x:c r="D31" s="436" t="n">
        <x:f>'Калькулятор'!G14</x:f>
        <x:v>14963.2</x:v>
      </x:c>
      <x:c r="E31" s="377" t="n">
        <x:f>'Калькулятор'!K14</x:f>
        <x:v>205.57879776384232</x:v>
      </x:c>
      <x:c r="F31" s="354" t="n">
        <x:f>'Калькулятор'!L14</x:f>
        <x:v>0.5135685144200788</x:v>
      </x:c>
      <x:c r="G31" s="437" t="n">
        <x:f>'Калькулятор'!I14</x:f>
        <x:v>72.78571605029477</x:v>
      </x:c>
      <x:c r="H31" t="str">
        <x:v>Параметры раунда 5</x:v>
      </x:c>
    </x:row>
    <x:row r="32"/>
    <x:row r="33" ht="15" hidden="0" customHeight="1">
      <x:c r="A33" s="1224" t="str">
        <x:v>Легенда: синий шрифт на голубом фоне — ввод; зелёный — ссылка на другой лист; чёрный — формула. Все пять раундов и 4 млрд ₽ инвестиций моделируются явно.</x:v>
      </x:c>
      <x:c r="B33" s="1224"/>
      <x:c r="C33" s="1224"/>
      <x:c r="D33" s="1224"/>
      <x:c r="E33" s="1224"/>
      <x:c r="F33" s="1224"/>
      <x:c r="G33" s="1224"/>
      <x:c r="H33" s="1224"/>
      <x:c r="I33" s="1224"/>
      <x:c r="J33" s="1224"/>
    </x:row>
    <x:row r="34"/>
    <x:row r="35" ht="15" hidden="0" customHeight="1">
      <x:c r="A35" s="1214" t="str">
        <x:v>4. Контрольные проверки</x:v>
      </x:c>
      <x:c r="B35" s="1325"/>
      <x:c r="C35" s="1325"/>
      <x:c r="D35" s="1325"/>
      <x:c r="E35" s="1325"/>
      <x:c r="F35" s="1326"/>
      <x:c r="G35" s="1326"/>
      <x:c r="H35" s="1326"/>
      <x:c r="I35" s="1326"/>
      <x:c r="J35" s="1326"/>
    </x:row>
    <x:row r="36" ht="15" hidden="0" customHeight="1">
      <x:c r="A36" s="1158" t="str">
        <x:v>Проверка</x:v>
      </x:c>
      <x:c r="B36" s="1158" t="str">
        <x:v>Факт</x:v>
      </x:c>
      <x:c r="C36" s="1158" t="str">
        <x:v>Ожидание / предел</x:v>
      </x:c>
      <x:c r="D36" s="1158" t="str">
        <x:v>Отклонение</x:v>
      </x:c>
      <x:c r="E36" s="1158" t="str">
        <x:v>Статус</x:v>
      </x:c>
    </x:row>
    <x:row r="37" ht="15" hidden="0" customHeight="1">
      <x:c r="A37" s="140" t="str">
        <x:v>Резерв фиксирован</x:v>
      </x:c>
      <x:c r="B37" s="421" t="n">
        <x:f>$B$4</x:f>
        <x:v>10</x:v>
      </x:c>
      <x:c r="C37" s="421" t="n">
        <x:v>10</x:v>
      </x:c>
      <x:c r="D37" s="421" t="n">
        <x:f>B37-C37</x:f>
        <x:v>0</x:v>
      </x:c>
      <x:c r="E37" s="429" t="str">
        <x:f>IF(ABS(D37)&lt;0.000001,"НОРМА","ПРОВЕРИТЬ")</x:f>
        <x:v>НОРМА</x:v>
      </x:c>
    </x:row>
    <x:row r="38" ht="26.399999618530273" hidden="0" customHeight="1">
      <x:c r="A38" s="140" t="str">
        <x:v>Использовано не больше резерва</x:v>
      </x:c>
      <x:c r="B38" s="421" t="n">
        <x:f>$D$4</x:f>
        <x:v>9.504543051104589</x:v>
      </x:c>
      <x:c r="C38" s="421" t="n">
        <x:f>$B$4</x:f>
        <x:v>10</x:v>
      </x:c>
      <x:c r="D38" s="421" t="n">
        <x:f>B38-C38</x:f>
        <x:v>-0.49545694889541103</x:v>
      </x:c>
      <x:c r="E38" s="429" t="str">
        <x:f>IF(B38&lt;=C38,"НОРМА","СТОП")</x:f>
        <x:v>НОРМА</x:v>
      </x:c>
    </x:row>
    <x:row r="39" ht="26.399999618530273" hidden="0" customHeight="1">
      <x:c r="A39" s="140" t="str">
        <x:v>Свободный резерв не отрицателен</x:v>
      </x:c>
      <x:c r="B39" s="421" t="n">
        <x:f>$F$4</x:f>
        <x:v>0.49545694889541103</x:v>
      </x:c>
      <x:c r="C39" s="421" t="n">
        <x:v>0</x:v>
      </x:c>
      <x:c r="D39" s="421" t="n">
        <x:f>B39-C39</x:f>
        <x:v>0.49545694889541103</x:v>
      </x:c>
      <x:c r="E39" s="429" t="str">
        <x:f>IF(B39&gt;=C39,"НОРМА","СТОП")</x:f>
        <x:v>НОРМА</x:v>
      </x:c>
    </x:row>
    <x:row r="40" ht="26.399999618530273" hidden="0" customHeight="1">
      <x:c r="A40" s="140" t="str">
        <x:v>Сумма инвестиций, млн ₽</x:v>
      </x:c>
      <x:c r="B40" s="421" t="n">
        <x:f>SUM(C27:C31)</x:f>
        <x:v>4000</x:v>
      </x:c>
      <x:c r="C40" s="421" t="n">
        <x:v>4000</x:v>
      </x:c>
      <x:c r="D40" s="421" t="n">
        <x:f>B40-C40</x:f>
        <x:v>0</x:v>
      </x:c>
      <x:c r="E40" s="429" t="str">
        <x:f>IF(ABS(D40)&lt;0.01,"НОРМА","ПРОВЕРИТЬ")</x:f>
        <x:v>НОРМА</x:v>
      </x:c>
    </x:row>
    <x:row r="41" ht="26.399999618530273" hidden="0" customHeight="1">
      <x:c r="A41" s="140" t="str">
        <x:v>Занято примерно 95% резерва</x:v>
      </x:c>
      <x:c r="B41" s="405" t="n">
        <x:f>$H$4</x:f>
        <x:v>0.9504543051104589</x:v>
      </x:c>
      <x:c r="C41" s="405" t="n">
        <x:v>0.95</x:v>
      </x:c>
      <x:c r="D41" s="405" t="n">
        <x:f>B41-C41</x:f>
        <x:v>0.0004543051104589635</x:v>
      </x:c>
      <x:c r="E41" s="429" t="str">
        <x:f>IF(ABS(D41)&lt;=0.005,"НОРМА","ПРОВЕРИТЬ")</x:f>
        <x:v>НОРМА</x:v>
      </x:c>
    </x:row>
    <x:row r="42" ht="15" hidden="0" customHeight="1">
      <x:c r="A42" s="1225" t="str">
        <x:v>СТАТУС МОДЕЛИ</x:v>
      </x:c>
      <x:c r="B42" s="1225"/>
      <x:c r="C42" s="1225"/>
      <x:c r="D42" s="1225"/>
      <x:c r="E42" s="1225" t="str">
        <x:f>IF(COUNTIF(E37:E41,"&lt;&gt;НОРМА")=0,"ПРОЙДЕНО","ПРОВЕРИТЬ")</x:f>
        <x:v>ПРОЙДЕНО</x:v>
      </x:c>
    </x:row>
    <x:row r="43"/>
    <x:row r="44" ht="15" hidden="0" customHeight="1">
      <x:c r="A44" s="1214" t="str">
        <x:v>5. Как читать подробную модель</x:v>
      </x:c>
      <x:c r="B44" s="1325"/>
      <x:c r="C44" s="1325"/>
      <x:c r="D44" s="1325"/>
      <x:c r="E44" s="1325"/>
      <x:c r="F44" s="1325"/>
      <x:c r="G44" s="1325"/>
      <x:c r="H44" s="1325"/>
      <x:c r="I44" s="1325"/>
      <x:c r="J44" s="1325"/>
    </x:row>
    <x:row r="45" ht="21" hidden="0" customHeight="1">
      <x:c r="A45" s="143" t="str">
        <x:v>1. В начале года Совет утверждает участников и пакет; на листе показан средний базовый сценарий, а не автоматическое право.</x:v>
      </x:c>
      <x:c r="B45" s="143"/>
      <x:c r="C45" s="143"/>
      <x:c r="D45" s="143"/>
      <x:c r="E45" s="143"/>
      <x:c r="F45" s="143"/>
      <x:c r="G45" s="143"/>
      <x:c r="H45" s="143"/>
      <x:c r="I45" s="143"/>
      <x:c r="J45" s="143"/>
    </x:row>
    <x:row r="46" ht="21" hidden="0" customHeight="1">
      <x:c r="A46" s="143" t="str">
        <x:v>2. Цена каждого цикла рассчитана из оценки и числа расчётных единиц после соответствующего раунда.</x:v>
      </x:c>
      <x:c r="B46" s="143"/>
      <x:c r="C46" s="143"/>
      <x:c r="D46" s="143"/>
      <x:c r="E46" s="143"/>
      <x:c r="F46" s="143"/>
      <x:c r="G46" s="143"/>
      <x:c r="H46" s="143"/>
      <x:c r="I46" s="143"/>
      <x:c r="J46" s="143"/>
    </x:row>
    <x:row r="47" ht="21" hidden="0" customHeight="1">
      <x:c r="A47" s="143" t="str">
        <x:v>3. После подтверждения результата начинается отдельное 36-месячное закрепление права по каждому годовому пакету.</x:v>
      </x:c>
      <x:c r="B47" s="143"/>
      <x:c r="C47" s="143"/>
      <x:c r="D47" s="143"/>
      <x:c r="E47" s="143"/>
      <x:c r="F47" s="143"/>
      <x:c r="G47" s="143"/>
      <x:c r="H47" s="143"/>
      <x:c r="I47" s="143"/>
      <x:c r="J47" s="143"/>
    </x:row>
    <x:row r="48" ht="21" hidden="0" customHeight="1">
      <x:c r="A48" s="143" t="str">
        <x:v>4. Продажа после пятого года не ускоряет закрепление права автоматически: учитывается только закрепившаяся часть.</x:v>
      </x:c>
      <x:c r="B48" s="143"/>
      <x:c r="C48" s="143"/>
      <x:c r="D48" s="143"/>
      <x:c r="E48" s="143"/>
      <x:c r="F48" s="143"/>
      <x:c r="G48" s="143"/>
      <x:c r="H48" s="143"/>
      <x:c r="I48" s="143"/>
      <x:c r="J48" s="143"/>
    </x:row>
    <x:row r="49" ht="21" hidden="0" customHeight="1">
      <x:c r="A49" s="143" t="str">
        <x:v>5. При изменении участников, оклада или множителя сначала проверяйте пиковое использование и свободный резерв.</x:v>
      </x:c>
      <x:c r="B49" s="143"/>
      <x:c r="C49" s="143"/>
      <x:c r="D49" s="143"/>
      <x:c r="E49" s="143"/>
      <x:c r="F49" s="143"/>
      <x:c r="G49" s="143"/>
      <x:c r="H49" s="143"/>
      <x:c r="I49" s="143"/>
      <x:c r="J49" s="143"/>
    </x:row>
    <x:row r="50" ht="21" hidden="0" customHeight="1">
      <x:c r="A50" s="143" t="str">
        <x:v>6. Управленческая модель не учитывает налоги, долг, расходы и преимущественные права инвесторов.</x:v>
      </x:c>
      <x:c r="B50" s="143"/>
      <x:c r="C50" s="143"/>
      <x:c r="D50" s="143"/>
      <x:c r="E50" s="143"/>
      <x:c r="F50" s="143"/>
      <x:c r="G50" s="143"/>
      <x:c r="H50" s="143"/>
      <x:c r="I50" s="143"/>
      <x:c r="J50" s="143"/>
    </x:row>
  </x:sheetData>
  <x:mergeCells>
    <x:mergeCell ref="A1:J1"/>
    <x:mergeCell ref="A2:J2"/>
    <x:mergeCell ref="A5:J5"/>
    <x:mergeCell ref="A7:J7"/>
    <x:mergeCell ref="A16:J16"/>
    <x:mergeCell ref="A25:J25"/>
    <x:mergeCell ref="A33:J33"/>
    <x:mergeCell ref="A35:J35"/>
    <x:mergeCell ref="A44:J44"/>
    <x:mergeCell ref="A45:J45"/>
    <x:mergeCell ref="A46:J46"/>
    <x:mergeCell ref="A47:J47"/>
    <x:mergeCell ref="A48:J48"/>
    <x:mergeCell ref="A49:J49"/>
    <x:mergeCell ref="A50:J50"/>
  </x:mergeCells>
  <x:conditionalFormatting sqref="J18:J23">
    <x:cfRule type="containsText" dxfId="2" priority="1" operator="containsText" text="В ПРЕДЕЛАХ"/>
    <x:cfRule type="containsText" dxfId="3" priority="2" operator="containsText" text="OK"/>
    <x:cfRule type="containsText" dxfId="4" priority="3" operator="containsText" text="СТОП"/>
  </x:conditionalFormatting>
  <x:conditionalFormatting sqref="E37:E42">
    <x:cfRule type="containsText" dxfId="5" priority="4" operator="containsText" text="OK"/>
    <x:cfRule type="containsText" dxfId="6" priority="5" operator="containsText" text="PASS"/>
    <x:cfRule type="containsText" dxfId="7" priority="6" operator="containsText" text="СТОП"/>
    <x:cfRule type="containsText" dxfId="8" priority="7" operator="containsText" text="FAIL"/>
    <x:cfRule type="containsText" dxfId="9" priority="8" operator="containsText" text="ПРОВЕРИТЬ"/>
  </x:conditionalFormatting>
  <x:dataValidations count="5">
    <x:dataValidation type="whole" operator="between" sqref="C9:C13">
      <x:formula1>0</x:formula1>
      <x:formula2>20</x:formula2>
    </x:dataValidation>
    <x:dataValidation type="decimal" operator="between" sqref="D9:D13">
      <x:formula1>0</x:formula1>
      <x:formula2>500</x:formula2>
    </x:dataValidation>
    <x:dataValidation type="decimal" operator="between" sqref="F9:G13">
      <x:formula1>0</x:formula1>
      <x:formula2>1</x:formula2>
    </x:dataValidation>
    <x:dataValidation type="decimal" operator="greaterThanOrEqual" sqref="F18:F22">
      <x:formula1>0</x:formula1>
    </x:dataValidation>
    <x:dataValidation type="decimal" operator="greaterThanOrEqual" sqref="D4">
      <x:formula1>0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25" hidden="0" customWidth="1"/>
    <x:col min="2" max="2" width="20" hidden="0" customWidth="1"/>
    <x:col min="3" max="3" width="20.6299991607666" hidden="0" customWidth="1"/>
    <x:col min="4" max="4" width="21.8799991607666" hidden="0" customWidth="1"/>
    <x:col min="5" max="5" width="18.75" hidden="0" customWidth="1"/>
    <x:col min="6" max="6" width="22.5" hidden="0" customWidth="1"/>
    <x:col min="7" max="7" width="23.1299991607666" hidden="0" customWidth="1"/>
    <x:col min="8" max="8" width="28.75" hidden="0" customWidth="1"/>
  </x:cols>
  <x:sheetData>
    <x:row r="1" ht="25.5" customHeight="1">
      <x:c r="A1" s="1227" t="str">
        <x:v>LTI: резерв 10% и пятилетний базовый сценарий</x:v>
      </x:c>
      <x:c r="B1" s="170"/>
      <x:c r="C1" s="170"/>
      <x:c r="D1" s="170"/>
      <x:c r="E1" s="170"/>
      <x:c r="F1" s="170"/>
      <x:c r="G1" s="170"/>
      <x:c r="H1" s="170"/>
    </x:row>
    <x:row r="2" ht="27" customHeight="1">
      <x:c r="A2" s="1228" t="str">
        <x:v>Как исходные 10 млн расчётных единиц распределяются, используются и закрепляются к продаже после пятого года.</x:v>
      </x:c>
      <x:c r="B2" s="1228"/>
      <x:c r="C2" s="1228"/>
      <x:c r="D2" s="1228"/>
      <x:c r="E2" s="1228"/>
      <x:c r="F2" s="1228"/>
      <x:c r="G2" s="1228"/>
      <x:c r="H2" s="1228"/>
    </x:row>
    <x:row r="3">
      <x:c r="A3" s="168"/>
      <x:c r="B3" s="168"/>
      <x:c r="C3" s="168"/>
      <x:c r="D3" s="168"/>
      <x:c r="E3" s="168"/>
      <x:c r="F3" s="168"/>
      <x:c r="G3" s="168"/>
      <x:c r="H3" s="168"/>
    </x:row>
    <x:row r="4" ht="24" customHeight="1">
      <x:c r="A4" s="1229" t="str">
        <x:v>1. Масштаб общего резерва</x:v>
      </x:c>
      <x:c r="B4" s="1229"/>
      <x:c r="C4" s="1229"/>
      <x:c r="D4" s="1229"/>
      <x:c r="E4" s="1229"/>
      <x:c r="F4" s="1229"/>
      <x:c r="G4" s="1229" t="str">
        <x:v>Размытие за пять раундов</x:v>
      </x:c>
      <x:c r="H4" s="1328" t="n">
        <x:f>'Калькулятор'!L14</x:f>
        <x:v>0.5135685144200788</x:v>
      </x:c>
    </x:row>
    <x:row r="5" ht="33" customHeight="1">
      <x:c r="A5" s="1230" t="str">
        <x:v>Момент</x:v>
      </x:c>
      <x:c r="B5" s="1230" t="str">
        <x:v>Стоимость капитала, млн ₽</x:v>
      </x:c>
      <x:c r="C5" s="1230" t="str">
        <x:v>Доля резерва</x:v>
      </x:c>
      <x:c r="D5" s="1230" t="str">
        <x:v>Стоимость резерва, млн ₽</x:v>
      </x:c>
      <x:c r="E5" s="179" t="str">
        <x:v>Смысл</x:v>
      </x:c>
      <x:c r="F5" s="179"/>
      <x:c r="G5" s="179"/>
      <x:c r="H5" s="179"/>
    </x:row>
    <x:row r="6" ht="28.5" customHeight="1">
      <x:c r="A6" s="183" t="str">
        <x:v>До первого раунда</x:v>
      </x:c>
      <x:c r="B6" s="450" t="n">
        <x:f>'Калькулятор'!E10</x:f>
        <x:v>1200</x:v>
      </x:c>
      <x:c r="C6" s="456" t="n">
        <x:f>'Калькулятор'!B11/'Калькулятор'!B10</x:f>
        <x:v>0.1</x:v>
      </x:c>
      <x:c r="D6" s="1232" t="n">
        <x:f>B6*C6</x:f>
        <x:v>120</x:v>
      </x:c>
      <x:c r="E6" s="1233" t="str">
        <x:v>10 млн расчётных единиц из исходных 100 млн = 10% до раунда</x:v>
      </x:c>
      <x:c r="F6" s="1233"/>
      <x:c r="G6" s="1233"/>
      <x:c r="H6" s="1233"/>
    </x:row>
    <x:row r="7" ht="28.5" customHeight="1">
      <x:c r="A7" s="183" t="str">
        <x:v>После первого раунда</x:v>
      </x:c>
      <x:c r="B7" s="450" t="n">
        <x:f>'Калькулятор'!G10</x:f>
        <x:v>1600</x:v>
      </x:c>
      <x:c r="C7" s="456" t="n">
        <x:f>'Калькулятор'!B11/'Калькулятор'!K10</x:f>
        <x:v>0.075</x:v>
      </x:c>
      <x:c r="D7" s="1232" t="n">
        <x:f>B7*C7</x:f>
        <x:v>120</x:v>
      </x:c>
      <x:c r="E7" s="1233" t="str">
        <x:v>После первого выпуска те же 10 млн расчётных единиц = 7,5% компании</x:v>
      </x:c>
      <x:c r="F7" s="1233"/>
      <x:c r="G7" s="1233"/>
      <x:c r="H7" s="1233"/>
    </x:row>
    <x:row r="8" ht="28.5" customHeight="1">
      <x:c r="A8" s="183" t="str">
        <x:v>Продажа после пятого года</x:v>
      </x:c>
      <x:c r="B8" s="450" t="n">
        <x:f>'Калькулятор'!B19</x:f>
        <x:v>16000</x:v>
      </x:c>
      <x:c r="C8" s="456" t="n">
        <x:f>'Калькулятор'!B11/'Калькулятор'!K14</x:f>
        <x:v>0.04864314855799212</x:v>
      </x:c>
      <x:c r="D8" s="1232" t="n">
        <x:f>B8*C8</x:f>
        <x:v>778.2903769278739</x:v>
      </x:c>
      <x:c r="E8" s="1233" t="str">
        <x:v>После всех пяти раундов те же 10 млн расчётных единиц = около 4,86% компании</x:v>
      </x:c>
      <x:c r="F8" s="1233"/>
      <x:c r="G8" s="1233"/>
      <x:c r="H8" s="1233"/>
    </x:row>
    <x:row r="9">
      <x:c r="A9" s="168"/>
      <x:c r="B9" s="168"/>
      <x:c r="C9" s="168"/>
      <x:c r="D9" s="168"/>
      <x:c r="E9" s="168"/>
      <x:c r="F9" s="168"/>
      <x:c r="G9" s="168"/>
      <x:c r="H9" s="168"/>
    </x:row>
    <x:row r="10" ht="24" customHeight="1">
      <x:c r="A10" s="1229" t="str">
        <x:v>2. Плановое назначение единого резерва 10%</x:v>
      </x:c>
      <x:c r="B10" s="1229"/>
      <x:c r="C10" s="1229"/>
      <x:c r="D10" s="1229"/>
      <x:c r="E10" s="1229"/>
      <x:c r="F10" s="1229"/>
      <x:c r="G10" s="1229"/>
      <x:c r="H10" s="1229"/>
    </x:row>
    <x:row r="11" ht="36" customHeight="1">
      <x:c r="A11" s="1230" t="str">
        <x:v>Кому</x:v>
      </x:c>
      <x:c r="B11" s="1230" t="str">
        <x:v>Доля до первого раунда</x:v>
      </x:c>
      <x:c r="C11" s="1230" t="str">
        <x:v>Расчётных единиц, млн</x:v>
      </x:c>
      <x:c r="D11" s="1230" t="str">
        <x:v>Стоимость при 1,2 млрд ₽, млн ₽</x:v>
      </x:c>
      <x:c r="E11" s="1230" t="str">
        <x:v>Доля после пяти раундов</x:v>
      </x:c>
      <x:c r="F11" s="1230" t="str">
        <x:v>Стоимость при 16 млрд ₽, млн ₽</x:v>
      </x:c>
      <x:c r="G11" s="1230" t="str">
        <x:v>Управление</x:v>
      </x:c>
      <x:c r="H11" s="179"/>
    </x:row>
    <x:row r="12" ht="28.5" customHeight="1">
      <x:c r="A12" s="189" t="str">
        <x:v>Текущая команда</x:v>
      </x:c>
      <x:c r="B12" s="1234" t="n">
        <x:v>0.05</x:v>
      </x:c>
      <x:c r="C12" s="459" t="n">
        <x:f>B12*'Калькулятор'!$B$10</x:f>
        <x:v>5</x:v>
      </x:c>
      <x:c r="D12" s="459" t="n">
        <x:f>C12*('Калькулятор'!$E$10/'Калькулятор'!$B$10)</x:f>
        <x:v>60</x:v>
      </x:c>
      <x:c r="E12" s="472" t="n">
        <x:f>C12/'Калькулятор'!$K$14</x:f>
        <x:v>0.02432157427899606</x:v>
      </x:c>
      <x:c r="F12" s="459" t="n">
        <x:f>C12*('Калькулятор'!$B$19/'Калькулятор'!$K$14)</x:f>
        <x:v>389.14518846393696</x:v>
      </x:c>
      <x:c r="G12" s="206" t="str">
        <x:v>Ежегодные поимённые решения</x:v>
      </x:c>
      <x:c r="H12" s="189"/>
    </x:row>
    <x:row r="13" ht="28.5" customHeight="1">
      <x:c r="A13" s="190" t="str">
        <x:v>Будущие сильные наймы</x:v>
      </x:c>
      <x:c r="B13" s="1234" t="n">
        <x:v>0.04</x:v>
      </x:c>
      <x:c r="C13" s="461" t="n">
        <x:f>B13*'Калькулятор'!$B$10</x:f>
        <x:v>4</x:v>
      </x:c>
      <x:c r="D13" s="461" t="n">
        <x:f>C13*('Калькулятор'!$E$10/'Калькулятор'!$B$10)</x:f>
        <x:v>48</x:v>
      </x:c>
      <x:c r="E13" s="473" t="n">
        <x:f>C13/'Калькулятор'!$K$14</x:f>
        <x:v>0.019457259423196847</x:v>
      </x:c>
      <x:c r="F13" s="461" t="n">
        <x:f>C13*('Калькулятор'!$B$19/'Калькулятор'!$K$14)</x:f>
        <x:v>311.3161507711496</x:v>
      </x:c>
      <x:c r="G13" s="207" t="str">
        <x:v>Ёмкость для новых ключевых ролей</x:v>
      </x:c>
      <x:c r="H13" s="190"/>
    </x:row>
    <x:row r="14" ht="28.5" customHeight="1">
      <x:c r="A14" s="191" t="str">
        <x:v>Резерв Совета</x:v>
      </x:c>
      <x:c r="B14" s="1234" t="n">
        <x:v>0.01</x:v>
      </x:c>
      <x:c r="C14" s="463" t="n">
        <x:f>B14*'Калькулятор'!$B$10</x:f>
        <x:v>1</x:v>
      </x:c>
      <x:c r="D14" s="463" t="n">
        <x:f>C14*('Калькулятор'!$E$10/'Калькулятор'!$B$10)</x:f>
        <x:v>12</x:v>
      </x:c>
      <x:c r="E14" s="474" t="n">
        <x:f>C14/'Калькулятор'!$K$14</x:f>
        <x:v>0.004864314855799212</x:v>
      </x:c>
      <x:c r="F14" s="463" t="n">
        <x:f>C14*('Калькулятор'!$B$19/'Калькулятор'!$K$14)</x:f>
        <x:v>77.8290376927874</x:v>
      </x:c>
      <x:c r="G14" s="208" t="str">
        <x:v>Только отдельные решения Совета</x:v>
      </x:c>
      <x:c r="H14" s="191"/>
    </x:row>
    <x:row r="15" ht="28.5" customHeight="1">
      <x:c r="A15" s="1235" t="str">
        <x:v>ИТОГО</x:v>
      </x:c>
      <x:c r="B15" s="1236" t="n">
        <x:f>SUM(B12:B14)</x:f>
        <x:v>0.09999999999999999</x:v>
      </x:c>
      <x:c r="C15" s="1239" t="n">
        <x:f>SUM(C12:C14)</x:f>
        <x:v>10</x:v>
      </x:c>
      <x:c r="D15" s="1239" t="n">
        <x:f>SUM(D12:D14)</x:f>
        <x:v>120</x:v>
      </x:c>
      <x:c r="E15" s="1240" t="n">
        <x:f>SUM(E12:E14)</x:f>
        <x:v>0.048643148557992115</x:v>
      </x:c>
      <x:c r="F15" s="1239" t="n">
        <x:f>SUM(F12:F14)</x:f>
        <x:v>778.290376927874</x:v>
      </x:c>
      <x:c r="G15" s="1239" t="str">
        <x:v>Перераспределение возможно только внутри 10%</x:v>
      </x:c>
      <x:c r="H15" s="193"/>
    </x:row>
    <x:row r="16">
      <x:c r="A16" s="168"/>
      <x:c r="B16" s="168"/>
      <x:c r="C16" s="168"/>
      <x:c r="D16" s="168"/>
      <x:c r="E16" s="168"/>
      <x:c r="F16" s="168"/>
      <x:c r="G16" s="168"/>
      <x:c r="H16" s="168"/>
    </x:row>
    <x:row r="17" ht="24" customHeight="1">
      <x:c r="A17" s="1229" t="str">
        <x:v>3. Сверка базового сценария с назначением 5% / 4% / 1%</x:v>
      </x:c>
      <x:c r="B17" s="1229"/>
      <x:c r="C17" s="1229"/>
      <x:c r="D17" s="1229"/>
      <x:c r="E17" s="1229"/>
      <x:c r="F17" s="1229"/>
      <x:c r="G17" s="1229"/>
      <x:c r="H17" s="1229"/>
    </x:row>
    <x:row r="18" ht="33" customHeight="1">
      <x:c r="A18" s="1230" t="str">
        <x:v>Показатель</x:v>
      </x:c>
      <x:c r="B18" s="1230" t="str">
        <x:v>Расчётных единиц, млн</x:v>
      </x:c>
      <x:c r="C18" s="1230" t="str">
        <x:v>При продаже, млн ₽</x:v>
      </x:c>
      <x:c r="D18" s="1230" t="str">
        <x:v>Что это значит</x:v>
      </x:c>
      <x:c r="E18" s="1230"/>
      <x:c r="F18" s="1230"/>
      <x:c r="G18" s="1230"/>
      <x:c r="H18" s="1230"/>
    </x:row>
    <x:row r="19" ht="31.5" customHeight="1">
      <x:c r="A19" s="188" t="str">
        <x:v>Занято базовым сценарием</x:v>
      </x:c>
      <x:c r="B19" s="651" t="n">
        <x:f>'Калькулятор'!G27</x:f>
        <x:v>9.504543051104589</x:v>
      </x:c>
      <x:c r="C19" s="459" t="n">
        <x:f>B19*('Калькулятор'!$B$19/'Калькулятор'!$K$14)</x:f>
        <x:v>739.7294393771396</x:v>
      </x:c>
      <x:c r="D19" s="188" t="str">
        <x:v>8 → 12 → 12 → 12 → 15 участников; 59 решений</x:v>
      </x:c>
      <x:c r="E19" s="188"/>
      <x:c r="F19" s="489"/>
      <x:c r="G19" s="489"/>
      <x:c r="H19" s="650"/>
    </x:row>
    <x:row r="20" ht="31.5" customHeight="1">
      <x:c r="A20" s="188" t="str">
        <x:v>Команда + будущие наймы</x:v>
      </x:c>
      <x:c r="B20" s="652" t="n">
        <x:f>C12+C13</x:f>
        <x:v>9</x:v>
      </x:c>
      <x:c r="C20" s="459" t="n">
        <x:f>B20*('Калькулятор'!$B$19/'Калькулятор'!$K$14)</x:f>
        <x:v>700.4613392350866</x:v>
      </x:c>
      <x:c r="D20" s="188" t="str">
        <x:v>Плановые 5% + 4% = 9 млн расчётных единиц</x:v>
      </x:c>
      <x:c r="E20" s="188"/>
      <x:c r="F20" s="489"/>
      <x:c r="G20" s="489"/>
      <x:c r="H20" s="650"/>
    </x:row>
    <x:row r="21" ht="39" customHeight="1">
      <x:c r="A21" s="1241" t="str">
        <x:v>Требуется перенести из резерва Совета</x:v>
      </x:c>
      <x:c r="B21" s="1245" t="n">
        <x:f>MAX(0,B19-B20)</x:f>
        <x:v>0.504543051104589</x:v>
      </x:c>
      <x:c r="C21" s="1244" t="n">
        <x:f>B21*('Калькулятор'!$B$19/'Калькулятор'!$K$14)</x:f>
        <x:v>39.268100142053015</x:v>
      </x:c>
      <x:c r="D21" s="1241" t="str">
        <x:v>Около 0,505 млн расчётных единиц — только по отдельному решению Совета</x:v>
      </x:c>
      <x:c r="E21" s="1241"/>
      <x:c r="F21" s="1241"/>
      <x:c r="G21" s="1241"/>
      <x:c r="H21" s="1244"/>
    </x:row>
    <x:row r="22" ht="31.5" customHeight="1">
      <x:c r="A22" s="1235" t="str">
        <x:v>Остаётся в резерве Совета</x:v>
      </x:c>
      <x:c r="B22" s="1247" t="n">
        <x:f>MAX(0,C14-B21)</x:f>
        <x:v>0.49545694889541103</x:v>
      </x:c>
      <x:c r="C22" s="1239" t="n">
        <x:f>B22*('Калькулятор'!$B$19/'Калькулятор'!$K$14)</x:f>
        <x:v>38.56093755073438</x:v>
      </x:c>
      <x:c r="D22" s="1235" t="str">
        <x:v>Свободный остаток базового сценария</x:v>
      </x:c>
      <x:c r="E22" s="1235"/>
      <x:c r="F22" s="1235"/>
      <x:c r="G22" s="1235"/>
      <x:c r="H22" s="1239"/>
    </x:row>
    <x:row r="23" ht="31.5" customHeight="1">
      <x:c r="A23" s="1248" t="str">
        <x:v>СВЕРКА</x:v>
      </x:c>
      <x:c r="B23" s="1251" t="n">
        <x:f>SUM(B20:B22)</x:f>
        <x:v>10</x:v>
      </x:c>
      <x:c r="C23" s="1252" t="n">
        <x:f>SUM(C20:C22)</x:f>
        <x:v>778.290376927874</x:v>
      </x:c>
      <x:c r="D23" s="1248" t="str">
        <x:v>9,000 + 0,505 + 0,495 = 10,000 млн расчётных единиц</x:v>
      </x:c>
      <x:c r="E23" s="1248"/>
      <x:c r="F23" s="1248"/>
      <x:c r="G23" s="1248"/>
      <x:c r="H23" s="1248"/>
    </x:row>
    <x:row r="24" ht="28.5" customHeight="1">
      <x:c r="A24" s="1253"/>
      <x:c r="B24" s="1254"/>
      <x:c r="C24" s="1254"/>
      <x:c r="D24" s="1255"/>
      <x:c r="E24" s="1255"/>
      <x:c r="F24" s="1256"/>
      <x:c r="G24" s="1256"/>
      <x:c r="H24" s="1257"/>
    </x:row>
    <x:row r="25">
      <x:c r="A25" s="1229" t="str">
        <x:v>4. Пять ежегодных решений: использование резерва и закрепление прав</x:v>
      </x:c>
      <x:c r="B25" s="1229"/>
      <x:c r="C25" s="1229"/>
      <x:c r="D25" s="1229"/>
      <x:c r="E25" s="1229"/>
      <x:c r="F25" s="1229"/>
      <x:c r="G25" s="1229"/>
      <x:c r="H25" s="1229"/>
    </x:row>
    <x:row r="26" ht="39" customHeight="1">
      <x:c r="A26" s="1258" t="str">
        <x:v>Год</x:v>
      </x:c>
      <x:c r="B26" s="1258" t="str">
        <x:v>Участников</x:v>
      </x:c>
      <x:c r="C26" s="1258" t="str">
        <x:v>Новые расчётные единицы, млн</x:v>
      </x:c>
      <x:c r="D26" s="1258" t="str">
        <x:v>Занято накопительно, млн</x:v>
      </x:c>
      <x:c r="E26" s="1258" t="str">
        <x:v>Закрепилось к продаже</x:v>
      </x:c>
      <x:c r="F26" s="1258" t="str">
        <x:v>Закрепившиеся расчётные единицы, млн</x:v>
      </x:c>
      <x:c r="G26" s="1258" t="str">
        <x:v>Закрепившаяся стоимость, млн ₽</x:v>
      </x:c>
      <x:c r="H26" s="1259" t="str">
        <x:v>Пояснение</x:v>
      </x:c>
    </x:row>
    <x:row r="27" ht="28.5" customHeight="1">
      <x:c r="A27" s="189" t="n">
        <x:v>1</x:v>
      </x:c>
      <x:c r="B27" s="681" t="n">
        <x:f>'Калькулятор'!B22</x:f>
        <x:v>8</x:v>
      </x:c>
      <x:c r="C27" s="651" t="n">
        <x:f>'Калькулятор'!F22</x:f>
        <x:v>3.3333333333333335</x:v>
      </x:c>
      <x:c r="D27" s="651" t="n">
        <x:f>'Калькулятор'!G22</x:f>
        <x:v>3.3333333333333335</x:v>
      </x:c>
      <x:c r="E27" s="690" t="n">
        <x:f>'Калькулятор'!J22</x:f>
        <x:v>1</x:v>
      </x:c>
      <x:c r="F27" s="651" t="n">
        <x:f>'Калькулятор'!K22</x:f>
        <x:v>3.3333333333333335</x:v>
      </x:c>
      <x:c r="G27" s="651" t="n">
        <x:f>'Калькулятор'!L22</x:f>
        <x:v>259.43012564262466</x:v>
      </x:c>
      <x:c r="H27" s="672" t="str">
        <x:v>Закрепилось полностью</x:v>
      </x:c>
    </x:row>
    <x:row r="28" ht="28.5" customHeight="1">
      <x:c r="A28" s="190" t="n">
        <x:v>2</x:v>
      </x:c>
      <x:c r="B28" s="682" t="n">
        <x:f>'Калькулятор'!B23</x:f>
        <x:v>12</x:v>
      </x:c>
      <x:c r="C28" s="686" t="n">
        <x:f>'Калькулятор'!F23</x:f>
        <x:v>2.5</x:v>
      </x:c>
      <x:c r="D28" s="686" t="n">
        <x:f>'Калькулятор'!G23</x:f>
        <x:v>5.833333333333334</x:v>
      </x:c>
      <x:c r="E28" s="691" t="n">
        <x:f>'Калькулятор'!J23</x:f>
        <x:v>1</x:v>
      </x:c>
      <x:c r="F28" s="686" t="n">
        <x:f>'Калькулятор'!K23</x:f>
        <x:v>2.5</x:v>
      </x:c>
      <x:c r="G28" s="686" t="n">
        <x:f>'Калькулятор'!L23</x:f>
        <x:v>194.57259423196848</x:v>
      </x:c>
      <x:c r="H28" s="673" t="str">
        <x:v>Закрепилось полностью</x:v>
      </x:c>
    </x:row>
    <x:row r="29" ht="28.5" customHeight="1">
      <x:c r="A29" s="1241" t="n">
        <x:v>3</x:v>
      </x:c>
      <x:c r="B29" s="1261" t="n">
        <x:f>'Калькулятор'!B24</x:f>
        <x:v>12</x:v>
      </x:c>
      <x:c r="C29" s="1262" t="n">
        <x:f>'Калькулятор'!F24</x:f>
        <x:v>1.5625</x:v>
      </x:c>
      <x:c r="D29" s="1262" t="n">
        <x:f>'Калькулятор'!G24</x:f>
        <x:v>7.395833333333334</x:v>
      </x:c>
      <x:c r="E29" s="1263" t="n">
        <x:f>'Калькулятор'!J24</x:f>
        <x:v>0.6666666666666666</x:v>
      </x:c>
      <x:c r="F29" s="1262" t="n">
        <x:f>'Калькулятор'!K24</x:f>
        <x:v>1.0416666666666665</x:v>
      </x:c>
      <x:c r="G29" s="1262" t="n">
        <x:f>'Калькулятор'!L24</x:f>
        <x:v>81.0719142633202</x:v>
      </x:c>
      <x:c r="H29" s="1264" t="str">
        <x:v>Закрепилось на 2/3</x:v>
      </x:c>
    </x:row>
    <x:row r="30" ht="28.5" customHeight="1">
      <x:c r="A30" s="1265" t="n">
        <x:v>4</x:v>
      </x:c>
      <x:c r="B30" s="1266" t="n">
        <x:f>'Калькулятор'!B25</x:f>
        <x:v>12</x:v>
      </x:c>
      <x:c r="C30" s="1267" t="n">
        <x:f>'Калькулятор'!F25</x:f>
        <x:v>1.0782877604166667</x:v>
      </x:c>
      <x:c r="D30" s="1267" t="n">
        <x:f>'Калькулятор'!G25</x:f>
        <x:v>8.47412109375</x:v>
      </x:c>
      <x:c r="E30" s="1268" t="n">
        <x:f>'Калькулятор'!J25</x:f>
        <x:v>0.3333333333333333</x:v>
      </x:c>
      <x:c r="F30" s="1267" t="n">
        <x:f>'Калькулятор'!K25</x:f>
        <x:v>0.3594292534722222</x:v>
      </x:c>
      <x:c r="G30" s="1267" t="n">
        <x:f>'Калькулятор'!L25</x:f>
        <x:v>27.97403291638002</x:v>
      </x:c>
      <x:c r="H30" s="1269" t="str">
        <x:v>Закрепилось на 1/3</x:v>
      </x:c>
    </x:row>
    <x:row r="31" ht="28.5" customHeight="1">
      <x:c r="A31" s="1184" t="n">
        <x:v>5</x:v>
      </x:c>
      <x:c r="B31" s="1270" t="n">
        <x:f>'Калькулятор'!B26</x:f>
        <x:v>15</x:v>
      </x:c>
      <x:c r="C31" s="1271" t="n">
        <x:f>'Калькулятор'!F26</x:f>
        <x:v>1.0304219573545883</x:v>
      </x:c>
      <x:c r="D31" s="1271" t="n">
        <x:f>'Калькулятор'!G26</x:f>
        <x:v>9.504543051104589</x:v>
      </x:c>
      <x:c r="E31" s="1272" t="n">
        <x:f>'Калькулятор'!J26</x:f>
        <x:v>0</x:v>
      </x:c>
      <x:c r="F31" s="1271" t="n">
        <x:f>'Калькулятор'!K26</x:f>
        <x:v>0</x:v>
      </x:c>
      <x:c r="G31" s="1271" t="n">
        <x:f>'Калькулятор'!L26</x:f>
        <x:v>0</x:v>
      </x:c>
      <x:c r="H31" s="1273" t="str">
        <x:v>К продаже ещё не закрепилось</x:v>
      </x:c>
    </x:row>
    <x:row r="32" ht="28.5" customHeight="1">
      <x:c r="A32" s="1171" t="str">
        <x:v>ИТОГО</x:v>
      </x:c>
      <x:c r="B32" s="1176" t="n">
        <x:f>SUM(B27:B31)</x:f>
        <x:v>59</x:v>
      </x:c>
      <x:c r="C32" s="1177" t="n">
        <x:f>SUM(C27:C31)</x:f>
        <x:v>9.504543051104589</x:v>
      </x:c>
      <x:c r="D32" s="1177" t="n">
        <x:f>MAX(D27:D31)</x:f>
        <x:v>9.504543051104589</x:v>
      </x:c>
      <x:c r="E32" s="1171"/>
      <x:c r="F32" s="1177" t="n">
        <x:f>SUM(F27:F31)</x:f>
        <x:v>7.234429253472222</x:v>
      </x:c>
      <x:c r="G32" s="1177" t="n">
        <x:f>SUM(G27:G31)</x:f>
        <x:v>563.0486670542933</x:v>
      </x:c>
      <x:c r="H32" s="1260" t="str">
        <x:v>Последние три пакета закрепились не полностью</x:v>
      </x:c>
    </x:row>
    <x:row r="33" ht="43.5" customHeight="1">
      <x:c r="A33" s="1208" t="str">
        <x:v>Важно: новый пакет не возникает автоматически. Каждый цикл утверждается заново; закрепление права начинается после подтверждения результата и занимает 36 месяцев.</x:v>
      </x:c>
      <x:c r="B33" s="1208"/>
      <x:c r="C33" s="1208"/>
      <x:c r="D33" s="1208"/>
      <x:c r="E33" s="1208"/>
      <x:c r="F33" s="1208"/>
      <x:c r="G33" s="1208"/>
      <x:c r="H33" s="1208"/>
    </x:row>
    <x:row r="35">
      <x:c r="A35" s="1151" t="str">
        <x:v>5. Чувствительность: что произойдёт, если цена расчётной единицы не растёт</x:v>
      </x:c>
      <x:c r="B35" s="1326"/>
      <x:c r="C35" s="1326"/>
      <x:c r="D35" s="1326"/>
      <x:c r="E35" s="1326"/>
      <x:c r="F35" s="1326"/>
      <x:c r="G35" s="1326"/>
      <x:c r="H35" s="1326"/>
    </x:row>
    <x:row r="36" ht="36" customHeight="1">
      <x:c r="A36" s="1158" t="str">
        <x:v>Допущение</x:v>
      </x:c>
      <x:c r="B36" s="1158" t="str">
        <x:v>Значение</x:v>
      </x:c>
      <x:c r="C36" s="1158" t="str">
        <x:v>Как читать</x:v>
      </x:c>
      <x:c r="D36" s="1158" t="str">
        <x:v>Показатель</x:v>
      </x:c>
      <x:c r="E36" s="1158" t="str">
        <x:v>Итог / предел</x:v>
      </x:c>
      <x:c r="F36" s="1158" t="str">
        <x:v>Доп. показатель</x:v>
      </x:c>
      <x:c r="G36" s="1158" t="str">
        <x:v>Вывод</x:v>
      </x:c>
      <x:c r="H36" s="1158"/>
    </x:row>
    <x:row r="37" ht="36" customHeight="1">
      <x:c r="A37" s="76" t="str">
        <x:v>Цена расчётной единицы все пять лет, ₽</x:v>
      </x:c>
      <x:c r="B37" s="352" t="n">
        <x:f>'Калькулятор'!I10</x:f>
        <x:v>12</x:v>
      </x:c>
      <x:c r="C37" s="76" t="str">
        <x:v>Равна цене первого года</x:v>
      </x:c>
      <x:c r="D37" s="76" t="str">
        <x:v>Решений по плану</x:v>
      </x:c>
      <x:c r="E37" s="888" t="n">
        <x:f>$B$38</x:f>
        <x:v>59</x:v>
      </x:c>
      <x:c r="F37" s="888" t="n">
        <x:f>E37/$B$39</x:f>
        <x:v>11.8</x:v>
      </x:c>
      <x:c r="G37" s="76" t="str">
        <x:v>8 + 12 + 12 + 12 + 15 = 59 решений</x:v>
      </x:c>
      <x:c r="H37" s="76"/>
    </x:row>
    <x:row r="38" ht="36" customHeight="1">
      <x:c r="A38" s="76" t="str">
        <x:v>Всего решений за пять лет</x:v>
      </x:c>
      <x:c r="B38" s="884" t="n">
        <x:f>'Калькулятор'!B27</x:f>
        <x:v>59</x:v>
      </x:c>
      <x:c r="C38" s="76" t="str">
        <x:v>8 → 12 → 12 → 12 → 15</x:v>
      </x:c>
      <x:c r="D38" s="76" t="str">
        <x:v>Требуется расчётных единиц, млн</x:v>
      </x:c>
      <x:c r="E38" s="889" t="n">
        <x:f>E37*$B$42/$B$37</x:f>
        <x:v>24.583333333333332</x:v>
      </x:c>
      <x:c r="F38" s="889" t="n">
        <x:f>E38/$B$39</x:f>
        <x:v>4.916666666666666</x:v>
      </x:c>
      <x:c r="G38" s="76" t="str">
        <x:v>59 × 5 млн ₽ ÷ 12 ₽</x:v>
      </x:c>
      <x:c r="H38" s="76"/>
    </x:row>
    <x:row r="39" ht="36" customHeight="1">
      <x:c r="A39" s="76" t="str">
        <x:v>Срок программы, лет</x:v>
      </x:c>
      <x:c r="B39" s="885" t="n">
        <x:f>COUNT('Калькулятор'!A22:A26)</x:f>
        <x:v>5</x:v>
      </x:c>
      <x:c r="C39" s="76" t="str">
        <x:v>Пять ежегодных решений</x:v>
      </x:c>
      <x:c r="D39" s="1208" t="str">
        <x:v>Использовано резерва</x:v>
      </x:c>
      <x:c r="E39" s="1283" t="n">
        <x:f>E38/'Калькулятор'!$B$11</x:f>
        <x:v>2.458333333333333</x:v>
      </x:c>
      <x:c r="F39" s="1208"/>
      <x:c r="G39" s="1208" t="str">
        <x:v>Без роста резерв превышен более чем вдвое</x:v>
      </x:c>
      <x:c r="H39" s="1208"/>
    </x:row>
    <x:row r="40" ht="36" customHeight="1">
      <x:c r="A40" s="76" t="str">
        <x:v>Средний годовой оклад, млн ₽</x:v>
      </x:c>
      <x:c r="B40" s="886" t="n">
        <x:f>'Калькулятор'!B13</x:f>
        <x:v>5</x:v>
      </x:c>
      <x:c r="C40" s="76" t="str">
        <x:v>Как в базовом сценарии</x:v>
      </x:c>
      <x:c r="D40" s="1200" t="str">
        <x:v>Базовый сценарий с ростом цены</x:v>
      </x:c>
      <x:c r="E40" s="1285" t="n">
        <x:f>'Калькулятор'!H27</x:f>
        <x:v>0.9504543051104589</x:v>
      </x:c>
      <x:c r="F40" s="1200"/>
      <x:c r="G40" s="1200" t="str">
        <x:v>9,505 млн из 10 млн расчётных единиц</x:v>
      </x:c>
      <x:c r="H40" s="1200"/>
    </x:row>
    <x:row r="41" ht="46.5" customHeight="1">
      <x:c r="A41" s="76" t="str">
        <x:v>Средний множитель пакета, ×</x:v>
      </x:c>
      <x:c r="B41" s="887" t="n">
        <x:f>'Калькулятор'!B14</x:f>
        <x:v>1</x:v>
      </x:c>
      <x:c r="C41" s="76" t="str">
        <x:v>Как в базовом сценарии</x:v>
      </x:c>
      <x:c r="D41" s="1204" t="str">
        <x:v>Основной предел: множитель при 59 решениях</x:v>
      </x:c>
      <x:c r="E41" s="1290" t="n">
        <x:f>$B$44*$B$37/($B$38*$B$40)</x:f>
        <x:v>0.36610169491525424</x:v>
      </x:c>
      <x:c r="F41" s="1291" t="n">
        <x:f>E41*$B$40</x:f>
        <x:v>1.8305084745762712</x:v>
      </x:c>
      <x:c r="G41" s="1204" t="str">
        <x:v>Сохраняет 1 млн расчётных единиц резерва Совета</x:v>
      </x:c>
      <x:c r="H41" s="1204"/>
    </x:row>
    <x:row r="42" ht="46.5" customHeight="1">
      <x:c r="A42" s="76" t="str">
        <x:v>Средний пакет на человека, млн ₽</x:v>
      </x:c>
      <x:c r="B42" s="888" t="n">
        <x:f>B40*B41</x:f>
        <x:v>5</x:v>
      </x:c>
      <x:c r="C42" s="76" t="str">
        <x:v>Оклад × множитель</x:v>
      </x:c>
      <x:c r="D42" s="1204" t="str">
        <x:v>Основной предел: полные пакеты 1,0 зарплаты</x:v>
      </x:c>
      <x:c r="E42" s="1292" t="n">
        <x:f>INT($B$44*$B$37/$B$42)</x:f>
        <x:v>21</x:v>
      </x:c>
      <x:c r="F42" s="1293" t="n">
        <x:f>E42/$B$39</x:f>
        <x:v>4.2</x:v>
      </x:c>
      <x:c r="G42" s="1204" t="str">
        <x:v>21 полный пакет за пять лет; в среднем 4,2 в год</x:v>
      </x:c>
      <x:c r="H42" s="1204"/>
    </x:row>
    <x:row r="43" ht="46.5" customHeight="1">
      <x:c r="A43" s="1136" t="str">
        <x:v>Резерв Совета, млн расчётных единиц</x:v>
      </x:c>
      <x:c r="B43" s="1027" t="n">
        <x:f>C14</x:f>
        <x:v>1</x:v>
      </x:c>
      <x:c r="C43" s="1136" t="str">
        <x:v>Сохраняется для отдельных решений</x:v>
      </x:c>
      <x:c r="D43" s="1294" t="str">
        <x:v>Абсолютный верхний предел: множитель при 59 решениях</x:v>
      </x:c>
      <x:c r="E43" s="1299" t="n">
        <x:f>'Калькулятор'!$B$11*$B$37/($B$38*$B$40)</x:f>
        <x:v>0.4067796610169492</x:v>
      </x:c>
      <x:c r="F43" s="1300" t="n">
        <x:f>E43*$B$40</x:f>
        <x:v>2.0338983050847457</x:v>
      </x:c>
      <x:c r="G43" s="1294" t="str">
        <x:v>Требует расходования всех 10 млн расчётных единиц</x:v>
      </x:c>
      <x:c r="H43" s="1294"/>
    </x:row>
    <x:row r="44" ht="46.5" customHeight="1">
      <x:c r="A44" s="76" t="str">
        <x:v>Доступно команде и будущим наймам, млн расчётных единиц</x:v>
      </x:c>
      <x:c r="B44" s="888" t="n">
        <x:f>C12+C13</x:f>
        <x:v>9</x:v>
      </x:c>
      <x:c r="C44" s="76" t="str">
        <x:v>5% текущей команде + 4% будущим наймам</x:v>
      </x:c>
      <x:c r="D44" s="1294" t="str">
        <x:v>Абсолютный верхний предел: полные пакеты 1,0 зарплаты</x:v>
      </x:c>
      <x:c r="E44" s="1301" t="n">
        <x:f>INT('Калькулятор'!$B$11*$B$37/$B$42)</x:f>
        <x:v>24</x:v>
      </x:c>
      <x:c r="F44" s="1302" t="n">
        <x:f>('Калькулятор'!$B$11*$B$37/$B$42)/$B$39</x:f>
        <x:v>4.8</x:v>
      </x:c>
      <x:c r="G44" s="1294" t="str">
        <x:v>24 полных пакета; 4,8 в год — только теоретическая ёмкость</x:v>
      </x:c>
      <x:c r="H44" s="1294"/>
    </x:row>
    <x:row r="45" ht="58.5" customHeight="1">
      <x:c r="A45" s="1303" t="str">
        <x:v>Вывод: без роста цены 59 решений с пакетом 1,0 зарплаты потребуют 24,583 млн расчётных единиц, или 245,8% резерва. При сохранении 1 млн единиц Совету поместятся 21 полный пакет, либо средний пакет нужно снизить до 0,366 зарплаты. При расходовании всего резерва — 24 полных пакета или 0,407 зарплаты.</x:v>
      </x:c>
      <x:c r="B45" s="1208"/>
      <x:c r="C45" s="1208"/>
      <x:c r="D45" s="1208"/>
      <x:c r="E45" s="1208"/>
      <x:c r="F45" s="1208"/>
      <x:c r="G45" s="1208"/>
      <x:c r="H45" s="1208"/>
    </x:row>
    <x:row r="46" ht="39" customHeight="1">
      <x:c r="A46" s="1304"/>
      <x:c r="B46" s="1305"/>
      <x:c r="C46" s="1305"/>
      <x:c r="D46" s="1305"/>
      <x:c r="E46" s="1305"/>
      <x:c r="F46" s="1305"/>
      <x:c r="G46" s="1305"/>
      <x:c r="H46" s="1306"/>
    </x:row>
    <x:row r="47" ht="40.5" customHeight="1">
      <x:c r="A47" s="1214" t="str">
        <x:v>6. Альтернатива продаже: денежный поток от дивидендов с года 5</x:v>
      </x:c>
      <x:c r="B47" s="1329"/>
      <x:c r="C47" s="1325"/>
      <x:c r="D47" s="1326"/>
      <x:c r="E47" s="1330"/>
      <x:c r="F47" s="1331"/>
      <x:c r="G47" s="1332"/>
      <x:c r="H47" s="1325"/>
    </x:row>
    <x:row r="48" ht="43.5" customHeight="1">
      <x:c r="A48" s="1158" t="str">
        <x:v>Допущение</x:v>
      </x:c>
      <x:c r="B48" s="1307" t="str">
        <x:v>Значение</x:v>
      </x:c>
      <x:c r="C48" s="1158" t="str">
        <x:v>Комментарий</x:v>
      </x:c>
      <x:c r="D48" s="1158" t="str">
        <x:v>Год</x:v>
      </x:c>
      <x:c r="E48" s="1314" t="str">
        <x:v>Закрепившиеся расчётные единицы, млн</x:v>
      </x:c>
      <x:c r="F48" s="1315" t="str">
        <x:v>Доля компании</x:v>
      </x:c>
      <x:c r="G48" s="1307" t="str">
        <x:v>Поток всей команде до личных налогов, млн ₽</x:v>
      </x:c>
      <x:c r="H48" s="1158" t="str">
        <x:v>Поток одному постоянному участнику, млн ₽</x:v>
      </x:c>
    </x:row>
    <x:row r="49" ht="40.5" customHeight="1">
      <x:c r="A49" s="76" t="str">
        <x:v>Начало выплат, год</x:v>
      </x:c>
      <x:c r="B49" s="1308" t="n">
        <x:v>5</x:v>
      </x:c>
      <x:c r="C49" s="76" t="str">
        <x:v>После окончания пятого года</x:v>
      </x:c>
      <x:c r="D49" s="76" t="n">
        <x:v>5</x:v>
      </x:c>
      <x:c r="E49" s="1140" t="n">
        <x:f>'Калькулятор'!K27</x:f>
        <x:v>7.234429253472222</x:v>
      </x:c>
      <x:c r="F49" s="1141" t="n">
        <x:f>E49/('Калькулятор'!$K$14*(1+$B$52)^(D49-$B$49))</x:f>
        <x:v>0.035190541690893334</x:v>
      </x:c>
      <x:c r="G49" s="1313" t="n">
        <x:f>$B$53*F49</x:f>
        <x:v>35.19054169089333</x:v>
      </x:c>
      <x:c r="H49" s="1320" t="n">
        <x:f>$B$53*('Один пакет'!F5+'Один пакет'!F6+'Один пакет'!F7*2/3+'Один пакет'!F8*1/3)/'Калькулятор'!$K$14</x:f>
        <x:v>3.427737205113674</x:v>
      </x:c>
    </x:row>
    <x:row r="50" ht="40.5" customHeight="1">
      <x:c r="A50" s="76" t="str">
        <x:v>Прибыль ежегодно, млн ₽</x:v>
      </x:c>
      <x:c r="B50" s="1309" t="n">
        <x:v>2000</x:v>
      </x:c>
      <x:c r="C50" s="76" t="str">
        <x:v>Отдельное допущение дивидендного сценария</x:v>
      </x:c>
      <x:c r="D50" s="76" t="n">
        <x:v>6</x:v>
      </x:c>
      <x:c r="E50" s="1140" t="n">
        <x:f>'Калькулятор'!F22+'Калькулятор'!F23+'Калькулятор'!F24+'Калькулятор'!F25*2/3+'Калькулятор'!F26*1/3</x:f>
        <x:v>8.458165826062642</x:v>
      </x:c>
      <x:c r="F50" s="1141" t="n">
        <x:f>E50/('Калькулятор'!$K$14*(1+$B$52)^(D50-$B$49))</x:f>
        <x:v>0.041143181680529724</x:v>
      </x:c>
      <x:c r="G50" s="1313" t="n">
        <x:f>$B$53*F50</x:f>
        <x:v>41.14318168052972</x:v>
      </x:c>
      <x:c r="H50" s="1320" t="n">
        <x:f>$B$53*('Один пакет'!F5+'Один пакет'!F6+'Один пакет'!F7+'Один пакет'!F8*2/3+'Один пакет'!F9*1/3)/'Калькулятор'!$K$14</x:f>
        <x:v>3.8725340821090173</x:v>
      </x:c>
    </x:row>
    <x:row r="51" ht="40.5" customHeight="1">
      <x:c r="A51" s="1139" t="str">
        <x:v>Доля прибыли владельцам</x:v>
      </x:c>
      <x:c r="B51" s="1310" t="n">
        <x:v>0.5</x:v>
      </x:c>
      <x:c r="C51" s="1139" t="str">
        <x:v>Решение о выплате принимается каждый год</x:v>
      </x:c>
      <x:c r="D51" s="1139" t="n">
        <x:v>7</x:v>
      </x:c>
      <x:c r="E51" s="1111" t="n">
        <x:f>SUM('Калькулятор'!F22:F25)+'Калькулятор'!F26*2/3</x:f>
        <x:v>9.161069065319726</x:v>
      </x:c>
      <x:c r="F51" s="1113" t="n">
        <x:f>E51/('Калькулятор'!$K$14*(1+$B$52)^(D51-$B$49))</x:f>
        <x:v>0.04456232434943735</x:v>
      </x:c>
      <x:c r="G51" s="1313" t="n">
        <x:f>$B$53*F51</x:f>
        <x:v>44.56232434943735</x:v>
      </x:c>
      <x:c r="H51" s="1320" t="n">
        <x:f>$B$53*(SUM('Один пакет'!F5:F8)+'Один пакет'!F9*2/3)/'Калькулятор'!$K$14</x:f>
        <x:v>4.116762421213335</x:v>
      </x:c>
    </x:row>
    <x:row r="52" ht="40.5" customHeight="1">
      <x:c r="A52" s="1139" t="str">
        <x:v>Рост числа расчётных единиц после года 5</x:v>
      </x:c>
      <x:c r="B52" s="1310" t="n">
        <x:v>0</x:v>
      </x:c>
      <x:c r="C52" s="1139" t="str">
        <x:v>0% означает отсутствие новых размытий</x:v>
      </x:c>
      <x:c r="D52" s="1139" t="n">
        <x:v>8</x:v>
      </x:c>
      <x:c r="E52" s="1111" t="n">
        <x:f>SUM('Калькулятор'!F22:F26)</x:f>
        <x:v>9.504543051104589</x:v>
      </x:c>
      <x:c r="F52" s="1113" t="n">
        <x:f>E52/('Калькулятор'!$K$14*(1+$B$52)^(D52-$B$49))</x:f>
        <x:v>0.04623308996107122</x:v>
      </x:c>
      <x:c r="G52" s="1313" t="n">
        <x:f>$B$53*F52</x:f>
        <x:v>46.23308996107122</x:v>
      </x:c>
      <x:c r="H52" s="1320" t="n">
        <x:f>$B$53*SUM('Один пакет'!F5:F9)/'Калькулятор'!$K$14</x:f>
        <x:v>4.222577576616813</x:v>
      </x:c>
    </x:row>
    <x:row r="53" ht="40.5" customHeight="1">
      <x:c r="A53" s="1200" t="str">
        <x:v>Общая сумма владельцам ежегодно, млн ₽</x:v>
      </x:c>
      <x:c r="B53" s="1313" t="n">
        <x:f>B50*B51</x:f>
        <x:v>1000</x:v>
      </x:c>
      <x:c r="C53" s="1200" t="str">
        <x:v>Прибыль × доля владельцам</x:v>
      </x:c>
      <x:c r="D53" s="1200" t="str">
        <x:v>8 и далее</x:v>
      </x:c>
      <x:c r="E53" s="1323" t="n">
        <x:f>E52</x:f>
        <x:v>9.504543051104589</x:v>
      </x:c>
      <x:c r="F53" s="1324" t="n">
        <x:f>F52</x:f>
        <x:v>0.04623308996107122</x:v>
      </x:c>
      <x:c r="G53" s="1313" t="n">
        <x:f>G52</x:f>
        <x:v>46.23308996107122</x:v>
      </x:c>
      <x:c r="H53" s="1320" t="n">
        <x:f>H52</x:f>
        <x:v>4.222577576616813</x:v>
      </x:c>
    </x:row>
    <x:row r="54" ht="43.5" customHeight="1">
      <x:c r="A54" s="1200" t="str">
        <x:v>Личный пример: Мария ежегодно получает целевой пакет 1,0 зарплаты, зарабатывает 95% и остаётся все пять лет.</x:v>
      </x:c>
      <x:c r="B54" s="1200"/>
      <x:c r="C54" s="1200"/>
      <x:c r="D54" s="1200" t="str">
        <x:v>ИТОГО 5–8</x:v>
      </x:c>
      <x:c r="E54" s="1200"/>
      <x:c r="F54" s="1200"/>
      <x:c r="G54" s="1313" t="n">
        <x:f>SUM(G49:G52)</x:f>
        <x:v>167.1291376819316</x:v>
      </x:c>
      <x:c r="H54" s="1320" t="n">
        <x:f>SUM(H49:H52)</x:f>
        <x:v>15.63961128505284</x:v>
      </x:c>
    </x:row>
    <x:row r="55" ht="46.5" customHeight="1">
      <x:c r="A55" s="1200" t="str">
        <x:v>При неизменной прибыли 2 млрд ₽, доле выплат 50% и отсутствии новых размытий поток всей команде с года 8 остаётся около 46,2 млн ₽ ежегодно, а Марии — около 4,22 млн ₽ ежегодно до личных налогов.</x:v>
      </x:c>
      <x:c r="B55" s="1200"/>
      <x:c r="C55" s="1200"/>
      <x:c r="D55" s="1200"/>
      <x:c r="E55" s="1200"/>
      <x:c r="F55" s="1200"/>
      <x:c r="G55" s="1200"/>
      <x:c r="H55" s="1200"/>
    </x:row>
    <x:row r="56" ht="82.5" customHeight="1">
      <x:c r="A56" s="1204" t="str">
        <x:v>Дивиденды не гарантированы. Каждый год они зависят от фактической прибыли и денег, корпоративных решений, требований закона и прав инвесторов. Прибыль до процентов, налогов и амортизации не равна прибыли, доступной для распределения: 2 млрд ₽ — отдельное условное допущение дивидендного сценария, а не автоматическое следствие этого показателя. Личный пример предполагает пакет 4,75 млн ₽ ежегодно, непрерывное участие все пять лет и суммы до личных налогов.</x:v>
      </x:c>
      <x:c r="B56" s="1204"/>
      <x:c r="C56" s="1204"/>
      <x:c r="D56" s="1204"/>
      <x:c r="E56" s="1204"/>
      <x:c r="F56" s="1204"/>
      <x:c r="G56" s="1204"/>
      <x:c r="H56" s="1204"/>
    </x:row>
  </x:sheetData>
  <x:mergeCells>
    <x:mergeCell ref="A1:H1"/>
    <x:mergeCell ref="A2:H2"/>
    <x:mergeCell ref="A4:F4"/>
    <x:mergeCell ref="E5:H5"/>
    <x:mergeCell ref="E6:H6"/>
    <x:mergeCell ref="E7:H7"/>
    <x:mergeCell ref="E8:H8"/>
    <x:mergeCell ref="A10:H10"/>
    <x:mergeCell ref="A17:H17"/>
    <x:mergeCell ref="D18:H18"/>
    <x:mergeCell ref="D19:H19"/>
    <x:mergeCell ref="D20:H20"/>
    <x:mergeCell ref="D21:H21"/>
    <x:mergeCell ref="D22:H22"/>
    <x:mergeCell ref="D23:H23"/>
    <x:mergeCell ref="A25:H25"/>
    <x:mergeCell ref="A33:H33"/>
    <x:mergeCell ref="A35:H35"/>
    <x:mergeCell ref="G36:H36"/>
    <x:mergeCell ref="G37:H37"/>
    <x:mergeCell ref="G38:H38"/>
    <x:mergeCell ref="G39:H39"/>
    <x:mergeCell ref="G40:H40"/>
    <x:mergeCell ref="G41:H41"/>
    <x:mergeCell ref="G42:H42"/>
    <x:mergeCell ref="G43:H43"/>
    <x:mergeCell ref="G44:H44"/>
    <x:mergeCell ref="A45:H45"/>
    <x:mergeCell ref="A47:H47"/>
    <x:mergeCell ref="A54:C54"/>
    <x:mergeCell ref="D54:F54"/>
    <x:mergeCell ref="A55:H55"/>
    <x:mergeCell ref="A56:H56"/>
  </x:mergeCells>
  <x:pageMargins left="0.7" right="0.7" top="0.75" bottom="0.75" header="0.3" footer="0.3"/>
</x:worksheet>
</file>